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ca Dulu" sheetId="1" state="visible" r:id="rId3"/>
    <sheet name="1 Kamus Data" sheetId="2" state="visible" r:id="rId4"/>
    <sheet name="2 Mock NUSA" sheetId="3" state="visible" r:id="rId5"/>
    <sheet name="3 Mock CerviScan" sheetId="4" state="visible" r:id="rId6"/>
    <sheet name="4 Mock cobas" sheetId="5" state="visible" r:id="rId7"/>
    <sheet name="5 Format Standar" sheetId="6" state="visible" r:id="rId8"/>
    <sheet name="6 Tindak Lanjut" sheetId="7" state="visible" r:id="rId9"/>
    <sheet name="7 Ringkasan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A1" authorId="0">
      <text>
        <r>
          <rPr>
            <sz val="10"/>
            <rFont val="Arial"/>
            <family val="2"/>
          </rPr>
          <t xml:space="preserve">Metilasi masih tahap pengembangan. Kolom ini untuk studi validasi, bukan keputusan klinis.</t>
        </r>
      </text>
    </comment>
  </commentList>
</comments>
</file>

<file path=xl/sharedStrings.xml><?xml version="1.0" encoding="utf-8"?>
<sst xmlns="http://schemas.openxmlformats.org/spreadsheetml/2006/main" count="4214" uniqueCount="812">
  <si>
    <t xml:space="preserve">Mock-up data software udahcekbelum: NUSA HPV, CerviScan (Bio Farma), cobas HPV (Roche)</t>
  </si>
  <si>
    <t xml:space="preserve">Kelompok B, Track 1: Precision Diagnostics | GenoHack 2026 | Dibuat 19 Oktober 2026</t>
  </si>
  <si>
    <t xml:space="preserve">Tujuan</t>
  </si>
  <si>
    <t xml:space="preserve">Menunjukkan data apa saja yang masuk ke software dari tiap alat, dalam bentuk aslinya, lalu bagaimana software menyeragamkannya dan memakainya untuk tindak lanjut.</t>
  </si>
  <si>
    <t xml:space="preserve">SEMUA DATA SINTETIS</t>
  </si>
  <si>
    <t xml:space="preserve">Nama, ID, tanggal, dan nilai Ct dibuat oleh tim untuk demo. Bukan data pasien dan bukan hasil uji alat.</t>
  </si>
  <si>
    <t xml:space="preserve">Komposisi hasil</t>
  </si>
  <si>
    <t xml:space="preserve">Sekitar 20% sampel dibuat positif supaya alur tindak lanjut terlihat. Prevalensi nyata program sekitar 4% (Kemenkes, 2025). Jangan pakai angka di file ini sebagai estimasi pasar atau kinerja.</t>
  </si>
  <si>
    <t xml:space="preserve">Status NUSA HPV</t>
  </si>
  <si>
    <t xml:space="preserve">Alat masih rancangan konseptual dan belum tervalidasi. Kolom metilasi ditandai riset dan tidak dipakai untuk keputusan klinis.</t>
  </si>
  <si>
    <t xml:space="preserve">Spesifikasi CerviScan dan cobas</t>
  </si>
  <si>
    <t xml:space="preserve">Diambil dari dokumen publik dan materi vendor (target genotipe, kontrol internal, ambang Ct 40 untuk CerviScan). Nama kanal dan fluorofor CerviScan di sheet 3 adalah contoh. Ketersediaan Ct dari cobas belum terkonfirmasi: ditulis 'Perlu cek'.</t>
  </si>
  <si>
    <t xml:space="preserve">Urutan sheet</t>
  </si>
  <si>
    <t xml:space="preserve">1 Kamus Data &gt; 2 Mock NUSA &gt; 3 Mock CerviScan (format ekspor mesin qPCR) &gt; 4 Mock cobas &gt; 5 Format Standar (hasil adapter, dengan rumus) &gt; 6 Tindak Lanjut &gt; 7 Ringkasan</t>
  </si>
  <si>
    <t xml:space="preserve">Warna</t>
  </si>
  <si>
    <t xml:space="preserve">Hijau muda = NUSA HPV; biru muda = CerviScan; oranye muda = cobas; abu-abu = berlaku untuk semua alat. Sel berisi rumus berwarna hitam; data contoh yang bisa diganti berwarna biru tua.</t>
  </si>
  <si>
    <t xml:space="preserve">Asumsi yang dipakai rumus</t>
  </si>
  <si>
    <t xml:space="preserve">Ambang Ct positif HPV</t>
  </si>
  <si>
    <t xml:space="preserve">Ct &lt; nilai ini = terdeteksi. Sumber: IFU CerviScan HPV-hr (ambang Ct 40).</t>
  </si>
  <si>
    <t xml:space="preserve">Batas Ct kontrol internal (valid jika &lt;=)</t>
  </si>
  <si>
    <t xml:space="preserve">Asumsi tim untuk demo. Nilai resmi per kit harus diambil dari IFU masing-masing.</t>
  </si>
  <si>
    <t xml:space="preserve">Jendela kirim cabang B (hari)</t>
  </si>
  <si>
    <t xml:space="preserve">Asumsi tim untuk demo. Belum ada data stabilitas DNA cabang B.</t>
  </si>
  <si>
    <t xml:space="preserve">Target IVA setelah hasil positif (hari)</t>
  </si>
  <si>
    <t xml:space="preserve">Target desain di halaman visual proposal (langkah 10).</t>
  </si>
  <si>
    <t xml:space="preserve">Recall hasil negatif (tahun)</t>
  </si>
  <si>
    <t xml:space="preserve">KMK HK.01.07/MENKES/84/2026.</t>
  </si>
  <si>
    <t xml:space="preserve">Recall positif tipe lain, IVA normal (tahun)</t>
  </si>
  <si>
    <t xml:space="preserve">Recall positif 16/18, IVA normal (tahun)</t>
  </si>
  <si>
    <t xml:space="preserve">Tahap</t>
  </si>
  <si>
    <t xml:space="preserve">Variabel</t>
  </si>
  <si>
    <t xml:space="preserve">Arti</t>
  </si>
  <si>
    <t xml:space="preserve">Tipe data</t>
  </si>
  <si>
    <t xml:space="preserve">Satuan / nilai yang boleh</t>
  </si>
  <si>
    <t xml:space="preserve">NUSA HPV</t>
  </si>
  <si>
    <t xml:space="preserve">CerviScan (Bio Farma)</t>
  </si>
  <si>
    <t xml:space="preserve">cobas HPV (Roche)</t>
  </si>
  <si>
    <t xml:space="preserve">Sensitivitas (UU PDP)</t>
  </si>
  <si>
    <t xml:space="preserve">Dipakai software untuk</t>
  </si>
  <si>
    <t xml:space="preserve">1 Identitas &amp; kuesioner</t>
  </si>
  <si>
    <t xml:space="preserve">id_perempuan</t>
  </si>
  <si>
    <t xml:space="preserve">ID pseudonim perempuan</t>
  </si>
  <si>
    <t xml:space="preserve">Teks</t>
  </si>
  <si>
    <t xml:space="preserve">P-0001 dst.</t>
  </si>
  <si>
    <t xml:space="preserve">Ya</t>
  </si>
  <si>
    <t xml:space="preserve">Ya (CKG)</t>
  </si>
  <si>
    <t xml:space="preserve">Pribadi</t>
  </si>
  <si>
    <t xml:space="preserve">Menautkan semua data</t>
  </si>
  <si>
    <t xml:space="preserve">nik_hash</t>
  </si>
  <si>
    <t xml:space="preserve">NIK yang di-hash, tidak disimpan mentah</t>
  </si>
  <si>
    <t xml:space="preserve">Hash 64 karakter</t>
  </si>
  <si>
    <t xml:space="preserve">Pencocokan dengan SATUSEHAT</t>
  </si>
  <si>
    <t xml:space="preserve">usia</t>
  </si>
  <si>
    <t xml:space="preserve">Usia saat skrining</t>
  </si>
  <si>
    <t xml:space="preserve">Angka</t>
  </si>
  <si>
    <t xml:space="preserve">Tahun, 30-69</t>
  </si>
  <si>
    <t xml:space="preserve">Kelayakan; fitur skor risiko</t>
  </si>
  <si>
    <t xml:space="preserve">riwayat_skrining</t>
  </si>
  <si>
    <t xml:space="preserve">Skrining sebelumnya</t>
  </si>
  <si>
    <t xml:space="preserve">Kategori</t>
  </si>
  <si>
    <t xml:space="preserve">Belum pernah / IVA / Pap / HPV DNA</t>
  </si>
  <si>
    <t xml:space="preserve">Ya (kuesioner)</t>
  </si>
  <si>
    <t xml:space="preserve">Ya (anamnesis CKG)</t>
  </si>
  <si>
    <t xml:space="preserve">Spesifik (kesehatan)</t>
  </si>
  <si>
    <t xml:space="preserve">Fitur skor risiko; interval recall</t>
  </si>
  <si>
    <t xml:space="preserve">vaksin_hpv</t>
  </si>
  <si>
    <t xml:space="preserve">Pernah vaksin HPV</t>
  </si>
  <si>
    <t xml:space="preserve">Ya / Tidak / Tidak tahu</t>
  </si>
  <si>
    <t xml:space="preserve">Perlu cek</t>
  </si>
  <si>
    <t xml:space="preserve">Fitur skor risiko</t>
  </si>
  <si>
    <t xml:space="preserve">gejala_merah</t>
  </si>
  <si>
    <t xml:space="preserve">Perdarahan di luar haid, pascasanggama, atau pascamenopause</t>
  </si>
  <si>
    <t xml:space="preserve">Ya/Tidak</t>
  </si>
  <si>
    <t xml:space="preserve">Ya / Tidak</t>
  </si>
  <si>
    <t xml:space="preserve">Ya (anamnesis)</t>
  </si>
  <si>
    <t xml:space="preserve">Langsung arahkan ke evaluasi klinis</t>
  </si>
  <si>
    <t xml:space="preserve">persetujuan</t>
  </si>
  <si>
    <t xml:space="preserve">Persetujuan pemeriksaan dan pemakaian data</t>
  </si>
  <si>
    <t xml:space="preserve">Ya/Tidak + waktu</t>
  </si>
  <si>
    <t xml:space="preserve">Ya / Tidak; tanggal-jam</t>
  </si>
  <si>
    <t xml:space="preserve">Ya (digital)</t>
  </si>
  <si>
    <t xml:space="preserve">Ya (formulir)</t>
  </si>
  <si>
    <t xml:space="preserve">Dasar hukum pemrosesan data</t>
  </si>
  <si>
    <t xml:space="preserve">2 Pengambilan sampel</t>
  </si>
  <si>
    <t xml:space="preserve">cara_ambil</t>
  </si>
  <si>
    <t xml:space="preserve">Cara pengambilan sampel</t>
  </si>
  <si>
    <t xml:space="preserve">Self-swab rumah / Self-swab didampingi nakes / Swab nakes</t>
  </si>
  <si>
    <t xml:space="preserve">Normalisasi Ct per jenis sampel</t>
  </si>
  <si>
    <t xml:space="preserve">waktu_swab</t>
  </si>
  <si>
    <t xml:space="preserve">Waktu swab diambil</t>
  </si>
  <si>
    <t xml:space="preserve">Tanggal-jam</t>
  </si>
  <si>
    <t xml:space="preserve">YYYY-MM-DD HH:MM</t>
  </si>
  <si>
    <t xml:space="preserve">Ya (otomatis dari aplikasi)</t>
  </si>
  <si>
    <t xml:space="preserve">Manual di formulir</t>
  </si>
  <si>
    <t xml:space="preserve">QC pra-analitik; waktu tunggu</t>
  </si>
  <si>
    <t xml:space="preserve">langkah_lengkap</t>
  </si>
  <si>
    <t xml:space="preserve">Semua langkah di aplikasi diikuti</t>
  </si>
  <si>
    <t xml:space="preserve">Tidak</t>
  </si>
  <si>
    <t xml:space="preserve">Teknis</t>
  </si>
  <si>
    <t xml:space="preserve">QC pra-analitik</t>
  </si>
  <si>
    <t xml:space="preserve">inspekulo</t>
  </si>
  <si>
    <t xml:space="preserve">Hasil inspekulo oleh nakes</t>
  </si>
  <si>
    <t xml:space="preserve">Normal / Abnormal / Tidak dilakukan</t>
  </si>
  <si>
    <t xml:space="preserve">Tidak (tanpa nakes)</t>
  </si>
  <si>
    <t xml:space="preserve">Alur KMK 84/2026</t>
  </si>
  <si>
    <t xml:space="preserve">iva_skrining</t>
  </si>
  <si>
    <t xml:space="preserve">IVA saat skrining (co-testing)</t>
  </si>
  <si>
    <t xml:space="preserve">Negatif / Positif / Tidak dilakukan</t>
  </si>
  <si>
    <t xml:space="preserve">3 Pembagian sampel</t>
  </si>
  <si>
    <t xml:space="preserve">barcode_pasangan</t>
  </si>
  <si>
    <t xml:space="preserve">Barcode cabang A dan B dari swab yang sama</t>
  </si>
  <si>
    <t xml:space="preserve">A-xxxx / B-xxxx</t>
  </si>
  <si>
    <t xml:space="preserve">Chain of custody</t>
  </si>
  <si>
    <t xml:space="preserve">4 Tes molekuler</t>
  </si>
  <si>
    <t xml:space="preserve">tempat_tes</t>
  </si>
  <si>
    <t xml:space="preserve">Lokasi tes</t>
  </si>
  <si>
    <t xml:space="preserve">Rumah / Lab</t>
  </si>
  <si>
    <t xml:space="preserve">Rumah (cabang A)</t>
  </si>
  <si>
    <t xml:space="preserve">Lab rujukan</t>
  </si>
  <si>
    <t xml:space="preserve">Lab hub</t>
  </si>
  <si>
    <t xml:space="preserve">Waktu tunggu; logistik</t>
  </si>
  <si>
    <t xml:space="preserve">id_alat_lot</t>
  </si>
  <si>
    <t xml:space="preserve">ID alat/mesin dan lot reagen atau cartridge</t>
  </si>
  <si>
    <t xml:space="preserve">Bebas</t>
  </si>
  <si>
    <t xml:space="preserve">Ya (di lab)</t>
  </si>
  <si>
    <t xml:space="preserve">QC per alat dan lot</t>
  </si>
  <si>
    <t xml:space="preserve">ct_hpv16</t>
  </si>
  <si>
    <t xml:space="preserve">Ct kanal HPV 16</t>
  </si>
  <si>
    <t xml:space="preserve">Siklus; kosong = tidak terdeteksi</t>
  </si>
  <si>
    <t xml:space="preserve">Kategori; delta-Ct</t>
  </si>
  <si>
    <t xml:space="preserve">ct_hpv18</t>
  </si>
  <si>
    <t xml:space="preserve">Ct kanal HPV 18</t>
  </si>
  <si>
    <t xml:space="preserve">ct_hpv52</t>
  </si>
  <si>
    <t xml:space="preserve">Ct kanal HPV 52</t>
  </si>
  <si>
    <t xml:space="preserve">Tidak (masuk pool)</t>
  </si>
  <si>
    <t xml:space="preserve">Kategori; epidemiologi tipe 52</t>
  </si>
  <si>
    <t xml:space="preserve">ct_pool_lain</t>
  </si>
  <si>
    <t xml:space="preserve">Ct kanal pool tipe risiko tinggi lain</t>
  </si>
  <si>
    <t xml:space="preserve">Ya (pool 11 tipe)</t>
  </si>
  <si>
    <t xml:space="preserve">Perlu cek (pool 12 tipe)</t>
  </si>
  <si>
    <t xml:space="preserve">ct_kontrol_internal</t>
  </si>
  <si>
    <t xml:space="preserve">Ct kontrol internal (gen manusia)</t>
  </si>
  <si>
    <t xml:space="preserve">Siklus</t>
  </si>
  <si>
    <t xml:space="preserve">Ya (beta-globin)</t>
  </si>
  <si>
    <t xml:space="preserve">Validitas; normalisasi</t>
  </si>
  <si>
    <t xml:space="preserve">hasil_per_target</t>
  </si>
  <si>
    <t xml:space="preserve">Hasil kualitatif per target</t>
  </si>
  <si>
    <t xml:space="preserve">Positif / Negatif / Invalid</t>
  </si>
  <si>
    <t xml:space="preserve">Kategori Kemenkes</t>
  </si>
  <si>
    <t xml:space="preserve">kurva_amplifikasi</t>
  </si>
  <si>
    <t xml:space="preserve">Data fluoresensi per siklus</t>
  </si>
  <si>
    <t xml:space="preserve">Deret angka</t>
  </si>
  <si>
    <t xml:space="preserve">45 nilai per kanal</t>
  </si>
  <si>
    <t xml:space="preserve">Ada di mesin, jarang diekspor</t>
  </si>
  <si>
    <t xml:space="preserve">QC lanjutan; deteksi kurva abnormal</t>
  </si>
  <si>
    <t xml:space="preserve">durasi_run</t>
  </si>
  <si>
    <t xml:space="preserve">Lama run</t>
  </si>
  <si>
    <t xml:space="preserve">Menit</t>
  </si>
  <si>
    <t xml:space="preserve">Ya (di mesin)</t>
  </si>
  <si>
    <t xml:space="preserve">Waktu tunggu</t>
  </si>
  <si>
    <t xml:space="preserve">5 Cabang B (lab)</t>
  </si>
  <si>
    <t xml:space="preserve">kirim_terima_B</t>
  </si>
  <si>
    <t xml:space="preserve">Waktu kirim dan terima cabang B</t>
  </si>
  <si>
    <t xml:space="preserve">Tanggal</t>
  </si>
  <si>
    <t xml:space="preserve">YYYY-MM-DD</t>
  </si>
  <si>
    <t xml:space="preserve">Jendela stabilitas sampel</t>
  </si>
  <si>
    <t xml:space="preserve">genotipe_lengkap</t>
  </si>
  <si>
    <t xml:space="preserve">Daftar tipe HPV terdeteksi di lab</t>
  </si>
  <si>
    <t xml:space="preserve">Contoh: 16; 31, 52</t>
  </si>
  <si>
    <t xml:space="preserve">Skor risiko; kesesuaian A-B</t>
  </si>
  <si>
    <t xml:space="preserve">metilasi</t>
  </si>
  <si>
    <t xml:space="preserve">Status metilasi FAM19A4/miR124-2 (riset)</t>
  </si>
  <si>
    <t xml:space="preserve">Positif / Negatif / Belum diuji</t>
  </si>
  <si>
    <t xml:space="preserve">Ya (riset)</t>
  </si>
  <si>
    <t xml:space="preserve">Studi validasi, belum klinis</t>
  </si>
  <si>
    <t xml:space="preserve">kesesuaian_A_B</t>
  </si>
  <si>
    <t xml:space="preserve">Hasil rumah sama dengan hasil lab</t>
  </si>
  <si>
    <t xml:space="preserve">Sesuai / Tidak sesuai</t>
  </si>
  <si>
    <t xml:space="preserve">Validasi alat rumah</t>
  </si>
  <si>
    <t xml:space="preserve">6 Hasil software</t>
  </si>
  <si>
    <t xml:space="preserve">kategori_kemenkes</t>
  </si>
  <si>
    <t xml:space="preserve">Kategori hasil untuk program</t>
  </si>
  <si>
    <t xml:space="preserve">Negatif / Positif 16/18 / Positif lain / Invalid</t>
  </si>
  <si>
    <t xml:space="preserve">Alur tindak lanjut; SATUSEHAT</t>
  </si>
  <si>
    <t xml:space="preserve">delta_ct</t>
  </si>
  <si>
    <t xml:space="preserve">Ct HPV terendah dikurangi Ct kontrol internal</t>
  </si>
  <si>
    <t xml:space="preserve">7 Tindak lanjut</t>
  </si>
  <si>
    <t xml:space="preserve">tgl_dihubungi_kader</t>
  </si>
  <si>
    <t xml:space="preserve">Tanggal kader menghubungi</t>
  </si>
  <si>
    <t xml:space="preserve">Ya (lewat software)</t>
  </si>
  <si>
    <t xml:space="preserve">KPI 48 jam</t>
  </si>
  <si>
    <t xml:space="preserve">tgl_iva</t>
  </si>
  <si>
    <t xml:space="preserve">Tanggal IVA dilakukan</t>
  </si>
  <si>
    <t xml:space="preserve">KPI IVA &lt;=60 hari</t>
  </si>
  <si>
    <t xml:space="preserve">hasil_iva</t>
  </si>
  <si>
    <t xml:space="preserve">Hasil IVA lanjutan</t>
  </si>
  <si>
    <t xml:space="preserve">Negatif / Positif &lt;75% / Positif &gt;=75% atau curiga kanker</t>
  </si>
  <si>
    <t xml:space="preserve">Menentukan tindakan</t>
  </si>
  <si>
    <t xml:space="preserve">tindakan</t>
  </si>
  <si>
    <t xml:space="preserve">Tindakan setelah IVA</t>
  </si>
  <si>
    <t xml:space="preserve">Tidak perlu / Krioterapi / Ablasi termal / Rujuk FKTL</t>
  </si>
  <si>
    <t xml:space="preserve">Menutup loop</t>
  </si>
  <si>
    <t xml:space="preserve">histologi</t>
  </si>
  <si>
    <t xml:space="preserve">Hasil biopsi bila dirujuk</t>
  </si>
  <si>
    <t xml:space="preserve">Normal / CIN1 / CIN2 / CIN3 / Kanker / Tidak ada</t>
  </si>
  <si>
    <t xml:space="preserve">Label kebenaran untuk validasi skor risiko</t>
  </si>
  <si>
    <t xml:space="preserve">tgl_recall</t>
  </si>
  <si>
    <t xml:space="preserve">Tanggal pemeriksaan berikutnya</t>
  </si>
  <si>
    <t xml:space="preserve">Dihitung dari kategori dan hasil IVA</t>
  </si>
  <si>
    <t xml:space="preserve">Pengingat; loop tertutup</t>
  </si>
  <si>
    <t xml:space="preserve">barcode_A</t>
  </si>
  <si>
    <t xml:space="preserve">barcode_B</t>
  </si>
  <si>
    <t xml:space="preserve">waktu_mulai_run</t>
  </si>
  <si>
    <t xml:space="preserve">id_alat</t>
  </si>
  <si>
    <t xml:space="preserve">lot_cartridge</t>
  </si>
  <si>
    <t xml:space="preserve">durasi_run_menit</t>
  </si>
  <si>
    <t xml:space="preserve">status_qc (rumus)</t>
  </si>
  <si>
    <t xml:space="preserve">kategori (rumus)</t>
  </si>
  <si>
    <t xml:space="preserve">status_cabang_B</t>
  </si>
  <si>
    <t xml:space="preserve">tgl_kirim_B</t>
  </si>
  <si>
    <t xml:space="preserve">tgl_terima_B</t>
  </si>
  <si>
    <t xml:space="preserve">dalam_jendela (rumus)</t>
  </si>
  <si>
    <t xml:space="preserve">genotipe_lab</t>
  </si>
  <si>
    <t xml:space="preserve">metilasi (RISET)</t>
  </si>
  <si>
    <t xml:space="preserve">P-0001</t>
  </si>
  <si>
    <t xml:space="preserve">A-7100</t>
  </si>
  <si>
    <t xml:space="preserve">B-7100</t>
  </si>
  <si>
    <t xml:space="preserve">HPV DNA</t>
  </si>
  <si>
    <t xml:space="preserve">Tidak tahu</t>
  </si>
  <si>
    <t xml:space="preserve">Self-swab rumah</t>
  </si>
  <si>
    <t xml:space="preserve">NUSA-0031</t>
  </si>
  <si>
    <t xml:space="preserve">LOT-2610B</t>
  </si>
  <si>
    <t xml:space="preserve">Disimpan, tidak dikirim</t>
  </si>
  <si>
    <t xml:space="preserve">P-0002</t>
  </si>
  <si>
    <t xml:space="preserve">A-7101</t>
  </si>
  <si>
    <t xml:space="preserve">B-7101</t>
  </si>
  <si>
    <t xml:space="preserve">NUSA-0044</t>
  </si>
  <si>
    <t xml:space="preserve">LOT-2610A</t>
  </si>
  <si>
    <t xml:space="preserve">P-0003</t>
  </si>
  <si>
    <t xml:space="preserve">A-7102</t>
  </si>
  <si>
    <t xml:space="preserve">B-7102</t>
  </si>
  <si>
    <t xml:space="preserve">Belum pernah</t>
  </si>
  <si>
    <t xml:space="preserve">NUSA-0027</t>
  </si>
  <si>
    <t xml:space="preserve">P-0004</t>
  </si>
  <si>
    <t xml:space="preserve">A-7103</t>
  </si>
  <si>
    <t xml:space="preserve">B-7103</t>
  </si>
  <si>
    <t xml:space="preserve">Pap</t>
  </si>
  <si>
    <t xml:space="preserve">P-0005</t>
  </si>
  <si>
    <t xml:space="preserve">A-7104</t>
  </si>
  <si>
    <t xml:space="preserve">B-7104</t>
  </si>
  <si>
    <t xml:space="preserve">NUSA-0012</t>
  </si>
  <si>
    <t xml:space="preserve">P-0006</t>
  </si>
  <si>
    <t xml:space="preserve">A-7105</t>
  </si>
  <si>
    <t xml:space="preserve">B-7105</t>
  </si>
  <si>
    <t xml:space="preserve">P-0007</t>
  </si>
  <si>
    <t xml:space="preserve">A-7106</t>
  </si>
  <si>
    <t xml:space="preserve">B-7106</t>
  </si>
  <si>
    <t xml:space="preserve">P-0008</t>
  </si>
  <si>
    <t xml:space="preserve">A-7107</t>
  </si>
  <si>
    <t xml:space="preserve">B-7107</t>
  </si>
  <si>
    <t xml:space="preserve">IVA</t>
  </si>
  <si>
    <t xml:space="preserve">Dikirim</t>
  </si>
  <si>
    <t xml:space="preserve">52</t>
  </si>
  <si>
    <t xml:space="preserve">Negatif</t>
  </si>
  <si>
    <t xml:space="preserve">Sesuai</t>
  </si>
  <si>
    <t xml:space="preserve">P-0009</t>
  </si>
  <si>
    <t xml:space="preserve">A-7108</t>
  </si>
  <si>
    <t xml:space="preserve">B-7108</t>
  </si>
  <si>
    <t xml:space="preserve">P-0010</t>
  </si>
  <si>
    <t xml:space="preserve">A-7109</t>
  </si>
  <si>
    <t xml:space="preserve">B-7109</t>
  </si>
  <si>
    <t xml:space="preserve">P-0011</t>
  </si>
  <si>
    <t xml:space="preserve">A-7110</t>
  </si>
  <si>
    <t xml:space="preserve">B-7110</t>
  </si>
  <si>
    <t xml:space="preserve">52, 59</t>
  </si>
  <si>
    <t xml:space="preserve">P-0012</t>
  </si>
  <si>
    <t xml:space="preserve">A-7111</t>
  </si>
  <si>
    <t xml:space="preserve">B-7111</t>
  </si>
  <si>
    <t xml:space="preserve">P-0013</t>
  </si>
  <si>
    <t xml:space="preserve">A-7112</t>
  </si>
  <si>
    <t xml:space="preserve">B-7112</t>
  </si>
  <si>
    <t xml:space="preserve">P-0014</t>
  </si>
  <si>
    <t xml:space="preserve">A-7113</t>
  </si>
  <si>
    <t xml:space="preserve">B-7113</t>
  </si>
  <si>
    <t xml:space="preserve">Belum diuji</t>
  </si>
  <si>
    <t xml:space="preserve">P-0015</t>
  </si>
  <si>
    <t xml:space="preserve">A-7114</t>
  </si>
  <si>
    <t xml:space="preserve">B-7114</t>
  </si>
  <si>
    <t xml:space="preserve">P-0016</t>
  </si>
  <si>
    <t xml:space="preserve">A-7115</t>
  </si>
  <si>
    <t xml:space="preserve">B-7115</t>
  </si>
  <si>
    <t xml:space="preserve">18</t>
  </si>
  <si>
    <t xml:space="preserve">P-0017</t>
  </si>
  <si>
    <t xml:space="preserve">A-7116</t>
  </si>
  <si>
    <t xml:space="preserve">B-7116</t>
  </si>
  <si>
    <t xml:space="preserve">P-0018</t>
  </si>
  <si>
    <t xml:space="preserve">A-7117</t>
  </si>
  <si>
    <t xml:space="preserve">B-7117</t>
  </si>
  <si>
    <t xml:space="preserve">P-0019</t>
  </si>
  <si>
    <t xml:space="preserve">A-7118</t>
  </si>
  <si>
    <t xml:space="preserve">B-7118</t>
  </si>
  <si>
    <t xml:space="preserve">45, 59</t>
  </si>
  <si>
    <t xml:space="preserve">P-0020</t>
  </si>
  <si>
    <t xml:space="preserve">A-7119</t>
  </si>
  <si>
    <t xml:space="preserve">B-7119</t>
  </si>
  <si>
    <t xml:space="preserve">P-0021</t>
  </si>
  <si>
    <t xml:space="preserve">A-7120</t>
  </si>
  <si>
    <t xml:space="preserve">B-7120</t>
  </si>
  <si>
    <t xml:space="preserve">P-0022</t>
  </si>
  <si>
    <t xml:space="preserve">A-7121</t>
  </si>
  <si>
    <t xml:space="preserve">B-7121</t>
  </si>
  <si>
    <t xml:space="preserve">P-0023</t>
  </si>
  <si>
    <t xml:space="preserve">A-7122</t>
  </si>
  <si>
    <t xml:space="preserve">B-7122</t>
  </si>
  <si>
    <t xml:space="preserve">P-0024</t>
  </si>
  <si>
    <t xml:space="preserve">A-7123</t>
  </si>
  <si>
    <t xml:space="preserve">B-7123</t>
  </si>
  <si>
    <t xml:space="preserve">P-0025</t>
  </si>
  <si>
    <t xml:space="preserve">A-7124</t>
  </si>
  <si>
    <t xml:space="preserve">B-7124</t>
  </si>
  <si>
    <t xml:space="preserve">P-0026</t>
  </si>
  <si>
    <t xml:space="preserve">A-7125</t>
  </si>
  <si>
    <t xml:space="preserve">B-7125</t>
  </si>
  <si>
    <t xml:space="preserve">P-0027</t>
  </si>
  <si>
    <t xml:space="preserve">A-7126</t>
  </si>
  <si>
    <t xml:space="preserve">B-7126</t>
  </si>
  <si>
    <t xml:space="preserve">P-0028</t>
  </si>
  <si>
    <t xml:space="preserve">A-7127</t>
  </si>
  <si>
    <t xml:space="preserve">B-7127</t>
  </si>
  <si>
    <t xml:space="preserve">P-0029</t>
  </si>
  <si>
    <t xml:space="preserve">A-7128</t>
  </si>
  <si>
    <t xml:space="preserve">B-7128</t>
  </si>
  <si>
    <t xml:space="preserve">P-0030</t>
  </si>
  <si>
    <t xml:space="preserve">A-7129</t>
  </si>
  <si>
    <t xml:space="preserve">B-7129</t>
  </si>
  <si>
    <t xml:space="preserve">P-0031</t>
  </si>
  <si>
    <t xml:space="preserve">A-7130</t>
  </si>
  <si>
    <t xml:space="preserve">B-7130</t>
  </si>
  <si>
    <t xml:space="preserve">P-0032</t>
  </si>
  <si>
    <t xml:space="preserve">A-7131</t>
  </si>
  <si>
    <t xml:space="preserve">B-7131</t>
  </si>
  <si>
    <t xml:space="preserve">P-0033</t>
  </si>
  <si>
    <t xml:space="preserve">A-7132</t>
  </si>
  <si>
    <t xml:space="preserve">B-7132</t>
  </si>
  <si>
    <t xml:space="preserve">P-0034</t>
  </si>
  <si>
    <t xml:space="preserve">A-7133</t>
  </si>
  <si>
    <t xml:space="preserve">B-7133</t>
  </si>
  <si>
    <t xml:space="preserve">P-0035</t>
  </si>
  <si>
    <t xml:space="preserve">A-7134</t>
  </si>
  <si>
    <t xml:space="preserve">B-7134</t>
  </si>
  <si>
    <t xml:space="preserve">P-0036</t>
  </si>
  <si>
    <t xml:space="preserve">A-7135</t>
  </si>
  <si>
    <t xml:space="preserve">B-7135</t>
  </si>
  <si>
    <t xml:space="preserve">P-0037</t>
  </si>
  <si>
    <t xml:space="preserve">A-7136</t>
  </si>
  <si>
    <t xml:space="preserve">B-7136</t>
  </si>
  <si>
    <t xml:space="preserve">P-0038</t>
  </si>
  <si>
    <t xml:space="preserve">A-7137</t>
  </si>
  <si>
    <t xml:space="preserve">B-7137</t>
  </si>
  <si>
    <t xml:space="preserve">P-0039</t>
  </si>
  <si>
    <t xml:space="preserve">A-7138</t>
  </si>
  <si>
    <t xml:space="preserve">B-7138</t>
  </si>
  <si>
    <t xml:space="preserve">P-0040</t>
  </si>
  <si>
    <t xml:space="preserve">A-7139</t>
  </si>
  <si>
    <t xml:space="preserve">B-7139</t>
  </si>
  <si>
    <t xml:space="preserve">P-0041</t>
  </si>
  <si>
    <t xml:space="preserve">A-7140</t>
  </si>
  <si>
    <t xml:space="preserve">B-7140</t>
  </si>
  <si>
    <t xml:space="preserve">P-0042</t>
  </si>
  <si>
    <t xml:space="preserve">A-7141</t>
  </si>
  <si>
    <t xml:space="preserve">B-7141</t>
  </si>
  <si>
    <t xml:space="preserve">P-0043</t>
  </si>
  <si>
    <t xml:space="preserve">A-7142</t>
  </si>
  <si>
    <t xml:space="preserve">B-7142</t>
  </si>
  <si>
    <t xml:space="preserve">P-0044</t>
  </si>
  <si>
    <t xml:space="preserve">A-7143</t>
  </si>
  <si>
    <t xml:space="preserve">B-7143</t>
  </si>
  <si>
    <t xml:space="preserve">P-0045</t>
  </si>
  <si>
    <t xml:space="preserve">A-7144</t>
  </si>
  <si>
    <t xml:space="preserve">B-7144</t>
  </si>
  <si>
    <t xml:space="preserve">P-0046</t>
  </si>
  <si>
    <t xml:space="preserve">A-7145</t>
  </si>
  <si>
    <t xml:space="preserve">B-7145</t>
  </si>
  <si>
    <t xml:space="preserve">P-0047</t>
  </si>
  <si>
    <t xml:space="preserve">A-7146</t>
  </si>
  <si>
    <t xml:space="preserve">B-7146</t>
  </si>
  <si>
    <t xml:space="preserve">P-0048</t>
  </si>
  <si>
    <t xml:space="preserve">A-7147</t>
  </si>
  <si>
    <t xml:space="preserve">B-7147</t>
  </si>
  <si>
    <t xml:space="preserve">33</t>
  </si>
  <si>
    <t xml:space="preserve">P-0049</t>
  </si>
  <si>
    <t xml:space="preserve">A-7148</t>
  </si>
  <si>
    <t xml:space="preserve">B-7148</t>
  </si>
  <si>
    <t xml:space="preserve">P-0050</t>
  </si>
  <si>
    <t xml:space="preserve">A-7149</t>
  </si>
  <si>
    <t xml:space="preserve">B-7149</t>
  </si>
  <si>
    <t xml:space="preserve">P-0051</t>
  </si>
  <si>
    <t xml:space="preserve">A-7150</t>
  </si>
  <si>
    <t xml:space="preserve">B-7150</t>
  </si>
  <si>
    <t xml:space="preserve">P-0052</t>
  </si>
  <si>
    <t xml:space="preserve">A-7151</t>
  </si>
  <si>
    <t xml:space="preserve">B-7151</t>
  </si>
  <si>
    <t xml:space="preserve">P-0053</t>
  </si>
  <si>
    <t xml:space="preserve">A-7152</t>
  </si>
  <si>
    <t xml:space="preserve">B-7152</t>
  </si>
  <si>
    <t xml:space="preserve">P-0054</t>
  </si>
  <si>
    <t xml:space="preserve">A-7153</t>
  </si>
  <si>
    <t xml:space="preserve">B-7153</t>
  </si>
  <si>
    <t xml:space="preserve">51</t>
  </si>
  <si>
    <t xml:space="preserve">P-0055</t>
  </si>
  <si>
    <t xml:space="preserve">A-7154</t>
  </si>
  <si>
    <t xml:space="preserve">B-7154</t>
  </si>
  <si>
    <t xml:space="preserve">P-0056</t>
  </si>
  <si>
    <t xml:space="preserve">A-7155</t>
  </si>
  <si>
    <t xml:space="preserve">B-7155</t>
  </si>
  <si>
    <t xml:space="preserve">P-0057</t>
  </si>
  <si>
    <t xml:space="preserve">A-7156</t>
  </si>
  <si>
    <t xml:space="preserve">B-7156</t>
  </si>
  <si>
    <t xml:space="preserve">P-0058</t>
  </si>
  <si>
    <t xml:space="preserve">A-7157</t>
  </si>
  <si>
    <t xml:space="preserve">B-7157</t>
  </si>
  <si>
    <t xml:space="preserve">P-0059</t>
  </si>
  <si>
    <t xml:space="preserve">A-7158</t>
  </si>
  <si>
    <t xml:space="preserve">B-7158</t>
  </si>
  <si>
    <t xml:space="preserve">P-0060</t>
  </si>
  <si>
    <t xml:space="preserve">A-7159</t>
  </si>
  <si>
    <t xml:space="preserve">B-7159</t>
  </si>
  <si>
    <t xml:space="preserve">Contoh bentuk ekspor mesin qPCR terbuka (mis. CFX/ABI) untuk CerviScan HPV-hr: satu baris per sumur per target. Nama kanal di kolom D adalah contoh, bukan spesifikasi resmi.</t>
  </si>
  <si>
    <t xml:space="preserve">Well</t>
  </si>
  <si>
    <t xml:space="preserve">Sample</t>
  </si>
  <si>
    <t xml:space="preserve">Target</t>
  </si>
  <si>
    <t xml:space="preserve">Kanal (contoh)</t>
  </si>
  <si>
    <t xml:space="preserve">Cq</t>
  </si>
  <si>
    <t xml:space="preserve">lab</t>
  </si>
  <si>
    <t xml:space="preserve">tgl_run</t>
  </si>
  <si>
    <t xml:space="preserve">A01</t>
  </si>
  <si>
    <t xml:space="preserve">CS-26-3400</t>
  </si>
  <si>
    <t xml:space="preserve">HPV16</t>
  </si>
  <si>
    <t xml:space="preserve">Kanal 1</t>
  </si>
  <si>
    <t xml:space="preserve">N/A</t>
  </si>
  <si>
    <t xml:space="preserve">P-0061</t>
  </si>
  <si>
    <t xml:space="preserve">Labkesda DKI</t>
  </si>
  <si>
    <t xml:space="preserve">HPV18</t>
  </si>
  <si>
    <t xml:space="preserve">Kanal 2</t>
  </si>
  <si>
    <t xml:space="preserve">HPV52</t>
  </si>
  <si>
    <t xml:space="preserve">Kanal 3</t>
  </si>
  <si>
    <t xml:space="preserve">HR lain (11 tipe)</t>
  </si>
  <si>
    <t xml:space="preserve">Kanal 4</t>
  </si>
  <si>
    <t xml:space="preserve">Beta-globin (IC)</t>
  </si>
  <si>
    <t xml:space="preserve">Kanal 5</t>
  </si>
  <si>
    <t xml:space="preserve">B01</t>
  </si>
  <si>
    <t xml:space="preserve">CS-26-3401</t>
  </si>
  <si>
    <t xml:space="preserve">P-0062</t>
  </si>
  <si>
    <t xml:space="preserve">C01</t>
  </si>
  <si>
    <t xml:space="preserve">CS-26-3402</t>
  </si>
  <si>
    <t xml:space="preserve">P-0063</t>
  </si>
  <si>
    <t xml:space="preserve">D01</t>
  </si>
  <si>
    <t xml:space="preserve">CS-26-3403</t>
  </si>
  <si>
    <t xml:space="preserve">P-0064</t>
  </si>
  <si>
    <t xml:space="preserve">E01</t>
  </si>
  <si>
    <t xml:space="preserve">CS-26-3404</t>
  </si>
  <si>
    <t xml:space="preserve">P-0065</t>
  </si>
  <si>
    <t xml:space="preserve">F01</t>
  </si>
  <si>
    <t xml:space="preserve">CS-26-3405</t>
  </si>
  <si>
    <t xml:space="preserve">P-0066</t>
  </si>
  <si>
    <t xml:space="preserve">Lab RSUD Pasar Minggu</t>
  </si>
  <si>
    <t xml:space="preserve">G01</t>
  </si>
  <si>
    <t xml:space="preserve">CS-26-3406</t>
  </si>
  <si>
    <t xml:space="preserve">P-0067</t>
  </si>
  <si>
    <t xml:space="preserve">H01</t>
  </si>
  <si>
    <t xml:space="preserve">CS-26-3407</t>
  </si>
  <si>
    <t xml:space="preserve">P-0068</t>
  </si>
  <si>
    <t xml:space="preserve">A02</t>
  </si>
  <si>
    <t xml:space="preserve">CS-26-3408</t>
  </si>
  <si>
    <t xml:space="preserve">P-0069</t>
  </si>
  <si>
    <t xml:space="preserve">B02</t>
  </si>
  <si>
    <t xml:space="preserve">CS-26-3409</t>
  </si>
  <si>
    <t xml:space="preserve">P-0070</t>
  </si>
  <si>
    <t xml:space="preserve">C02</t>
  </si>
  <si>
    <t xml:space="preserve">CS-26-3410</t>
  </si>
  <si>
    <t xml:space="preserve">P-0071</t>
  </si>
  <si>
    <t xml:space="preserve">D02</t>
  </si>
  <si>
    <t xml:space="preserve">CS-26-3411</t>
  </si>
  <si>
    <t xml:space="preserve">P-0072</t>
  </si>
  <si>
    <t xml:space="preserve">E02</t>
  </si>
  <si>
    <t xml:space="preserve">CS-26-3412</t>
  </si>
  <si>
    <t xml:space="preserve">P-0073</t>
  </si>
  <si>
    <t xml:space="preserve">F02</t>
  </si>
  <si>
    <t xml:space="preserve">CS-26-3413</t>
  </si>
  <si>
    <t xml:space="preserve">P-0074</t>
  </si>
  <si>
    <t xml:space="preserve">G02</t>
  </si>
  <si>
    <t xml:space="preserve">CS-26-3414</t>
  </si>
  <si>
    <t xml:space="preserve">P-0075</t>
  </si>
  <si>
    <t xml:space="preserve">H02</t>
  </si>
  <si>
    <t xml:space="preserve">CS-26-3415</t>
  </si>
  <si>
    <t xml:space="preserve">P-0076</t>
  </si>
  <si>
    <t xml:space="preserve">A03</t>
  </si>
  <si>
    <t xml:space="preserve">CS-26-3416</t>
  </si>
  <si>
    <t xml:space="preserve">P-0077</t>
  </si>
  <si>
    <t xml:space="preserve">B03</t>
  </si>
  <si>
    <t xml:space="preserve">CS-26-3417</t>
  </si>
  <si>
    <t xml:space="preserve">P-0078</t>
  </si>
  <si>
    <t xml:space="preserve">C03</t>
  </si>
  <si>
    <t xml:space="preserve">CS-26-3418</t>
  </si>
  <si>
    <t xml:space="preserve">P-0079</t>
  </si>
  <si>
    <t xml:space="preserve">D03</t>
  </si>
  <si>
    <t xml:space="preserve">CS-26-3419</t>
  </si>
  <si>
    <t xml:space="preserve">P-0080</t>
  </si>
  <si>
    <t xml:space="preserve">E03</t>
  </si>
  <si>
    <t xml:space="preserve">CS-26-3420</t>
  </si>
  <si>
    <t xml:space="preserve">P-0081</t>
  </si>
  <si>
    <t xml:space="preserve">F03</t>
  </si>
  <si>
    <t xml:space="preserve">CS-26-3421</t>
  </si>
  <si>
    <t xml:space="preserve">P-0082</t>
  </si>
  <si>
    <t xml:space="preserve">G03</t>
  </si>
  <si>
    <t xml:space="preserve">CS-26-3422</t>
  </si>
  <si>
    <t xml:space="preserve">P-0083</t>
  </si>
  <si>
    <t xml:space="preserve">H03</t>
  </si>
  <si>
    <t xml:space="preserve">CS-26-3423</t>
  </si>
  <si>
    <t xml:space="preserve">P-0084</t>
  </si>
  <si>
    <t xml:space="preserve">A04</t>
  </si>
  <si>
    <t xml:space="preserve">CS-26-3424</t>
  </si>
  <si>
    <t xml:space="preserve">P-0085</t>
  </si>
  <si>
    <t xml:space="preserve">B04</t>
  </si>
  <si>
    <t xml:space="preserve">CS-26-3425</t>
  </si>
  <si>
    <t xml:space="preserve">P-0086</t>
  </si>
  <si>
    <t xml:space="preserve">C04</t>
  </si>
  <si>
    <t xml:space="preserve">CS-26-3426</t>
  </si>
  <si>
    <t xml:space="preserve">P-0087</t>
  </si>
  <si>
    <t xml:space="preserve">D04</t>
  </si>
  <si>
    <t xml:space="preserve">CS-26-3427</t>
  </si>
  <si>
    <t xml:space="preserve">P-0088</t>
  </si>
  <si>
    <t xml:space="preserve">E04</t>
  </si>
  <si>
    <t xml:space="preserve">CS-26-3428</t>
  </si>
  <si>
    <t xml:space="preserve">P-0089</t>
  </si>
  <si>
    <t xml:space="preserve">F04</t>
  </si>
  <si>
    <t xml:space="preserve">CS-26-3429</t>
  </si>
  <si>
    <t xml:space="preserve">P-0090</t>
  </si>
  <si>
    <t xml:space="preserve">G04</t>
  </si>
  <si>
    <t xml:space="preserve">CS-26-3430</t>
  </si>
  <si>
    <t xml:space="preserve">P-0091</t>
  </si>
  <si>
    <t xml:space="preserve">H04</t>
  </si>
  <si>
    <t xml:space="preserve">CS-26-3431</t>
  </si>
  <si>
    <t xml:space="preserve">P-0092</t>
  </si>
  <si>
    <t xml:space="preserve">A05</t>
  </si>
  <si>
    <t xml:space="preserve">CS-26-3432</t>
  </si>
  <si>
    <t xml:space="preserve">P-0093</t>
  </si>
  <si>
    <t xml:space="preserve">B05</t>
  </si>
  <si>
    <t xml:space="preserve">CS-26-3433</t>
  </si>
  <si>
    <t xml:space="preserve">P-0094</t>
  </si>
  <si>
    <t xml:space="preserve">C05</t>
  </si>
  <si>
    <t xml:space="preserve">CS-26-3434</t>
  </si>
  <si>
    <t xml:space="preserve">P-0095</t>
  </si>
  <si>
    <t xml:space="preserve">D05</t>
  </si>
  <si>
    <t xml:space="preserve">CS-26-3435</t>
  </si>
  <si>
    <t xml:space="preserve">P-0096</t>
  </si>
  <si>
    <t xml:space="preserve">E05</t>
  </si>
  <si>
    <t xml:space="preserve">CS-26-3436</t>
  </si>
  <si>
    <t xml:space="preserve">P-0097</t>
  </si>
  <si>
    <t xml:space="preserve">F05</t>
  </si>
  <si>
    <t xml:space="preserve">CS-26-3437</t>
  </si>
  <si>
    <t xml:space="preserve">P-0098</t>
  </si>
  <si>
    <t xml:space="preserve">G05</t>
  </si>
  <si>
    <t xml:space="preserve">CS-26-3438</t>
  </si>
  <si>
    <t xml:space="preserve">P-0099</t>
  </si>
  <si>
    <t xml:space="preserve">H05</t>
  </si>
  <si>
    <t xml:space="preserve">CS-26-3439</t>
  </si>
  <si>
    <t xml:space="preserve">P-0100</t>
  </si>
  <si>
    <t xml:space="preserve">A06</t>
  </si>
  <si>
    <t xml:space="preserve">CS-26-3440</t>
  </si>
  <si>
    <t xml:space="preserve">P-0101</t>
  </si>
  <si>
    <t xml:space="preserve">B06</t>
  </si>
  <si>
    <t xml:space="preserve">CS-26-3441</t>
  </si>
  <si>
    <t xml:space="preserve">P-0102</t>
  </si>
  <si>
    <t xml:space="preserve">C06</t>
  </si>
  <si>
    <t xml:space="preserve">CS-26-3442</t>
  </si>
  <si>
    <t xml:space="preserve">P-0103</t>
  </si>
  <si>
    <t xml:space="preserve">D06</t>
  </si>
  <si>
    <t xml:space="preserve">CS-26-3443</t>
  </si>
  <si>
    <t xml:space="preserve">P-0104</t>
  </si>
  <si>
    <t xml:space="preserve">E06</t>
  </si>
  <si>
    <t xml:space="preserve">CS-26-3444</t>
  </si>
  <si>
    <t xml:space="preserve">P-0105</t>
  </si>
  <si>
    <t xml:space="preserve">F06</t>
  </si>
  <si>
    <t xml:space="preserve">CS-26-3445</t>
  </si>
  <si>
    <t xml:space="preserve">P-0106</t>
  </si>
  <si>
    <t xml:space="preserve">G06</t>
  </si>
  <si>
    <t xml:space="preserve">CS-26-3446</t>
  </si>
  <si>
    <t xml:space="preserve">P-0107</t>
  </si>
  <si>
    <t xml:space="preserve">H06</t>
  </si>
  <si>
    <t xml:space="preserve">CS-26-3447</t>
  </si>
  <si>
    <t xml:space="preserve">P-0108</t>
  </si>
  <si>
    <t xml:space="preserve">A07</t>
  </si>
  <si>
    <t xml:space="preserve">CS-26-3448</t>
  </si>
  <si>
    <t xml:space="preserve">P-0109</t>
  </si>
  <si>
    <t xml:space="preserve">B07</t>
  </si>
  <si>
    <t xml:space="preserve">CS-26-3449</t>
  </si>
  <si>
    <t xml:space="preserve">P-0110</t>
  </si>
  <si>
    <t xml:space="preserve">C07</t>
  </si>
  <si>
    <t xml:space="preserve">CS-26-3450</t>
  </si>
  <si>
    <t xml:space="preserve">P-0111</t>
  </si>
  <si>
    <t xml:space="preserve">D07</t>
  </si>
  <si>
    <t xml:space="preserve">CS-26-3451</t>
  </si>
  <si>
    <t xml:space="preserve">P-0112</t>
  </si>
  <si>
    <t xml:space="preserve">E07</t>
  </si>
  <si>
    <t xml:space="preserve">CS-26-3452</t>
  </si>
  <si>
    <t xml:space="preserve">P-0113</t>
  </si>
  <si>
    <t xml:space="preserve">F07</t>
  </si>
  <si>
    <t xml:space="preserve">CS-26-3453</t>
  </si>
  <si>
    <t xml:space="preserve">P-0114</t>
  </si>
  <si>
    <t xml:space="preserve">G07</t>
  </si>
  <si>
    <t xml:space="preserve">CS-26-3454</t>
  </si>
  <si>
    <t xml:space="preserve">P-0115</t>
  </si>
  <si>
    <t xml:space="preserve">H07</t>
  </si>
  <si>
    <t xml:space="preserve">CS-26-3455</t>
  </si>
  <si>
    <t xml:space="preserve">P-0116</t>
  </si>
  <si>
    <t xml:space="preserve">A08</t>
  </si>
  <si>
    <t xml:space="preserve">CS-26-3456</t>
  </si>
  <si>
    <t xml:space="preserve">P-0117</t>
  </si>
  <si>
    <t xml:space="preserve">B08</t>
  </si>
  <si>
    <t xml:space="preserve">CS-26-3457</t>
  </si>
  <si>
    <t xml:space="preserve">P-0118</t>
  </si>
  <si>
    <t xml:space="preserve">C08</t>
  </si>
  <si>
    <t xml:space="preserve">CS-26-3458</t>
  </si>
  <si>
    <t xml:space="preserve">P-0119</t>
  </si>
  <si>
    <t xml:space="preserve">D08</t>
  </si>
  <si>
    <t xml:space="preserve">CS-26-3459</t>
  </si>
  <si>
    <t xml:space="preserve">P-0120</t>
  </si>
  <si>
    <t xml:space="preserve">Contoh bentuk laporan hasil cobas HPV: kategori per target. Kolom Ct ditulis 'Perlu cek' karena ketersediaannya untuk pengguna belum terkonfirmasi.</t>
  </si>
  <si>
    <t xml:space="preserve">Sample ID</t>
  </si>
  <si>
    <t xml:space="preserve">Other HR (12 tipe)</t>
  </si>
  <si>
    <t xml:space="preserve">Validity</t>
  </si>
  <si>
    <t xml:space="preserve">Ct (semua kanal)</t>
  </si>
  <si>
    <t xml:space="preserve">CB-26-8800</t>
  </si>
  <si>
    <t xml:space="preserve">P-0121</t>
  </si>
  <si>
    <t xml:space="preserve">NEG</t>
  </si>
  <si>
    <t xml:space="preserve">Valid</t>
  </si>
  <si>
    <t xml:space="preserve">Labkesda Surabaya (hub)</t>
  </si>
  <si>
    <t xml:space="preserve">CB-26-8801</t>
  </si>
  <si>
    <t xml:space="preserve">P-0122</t>
  </si>
  <si>
    <t xml:space="preserve">Lab hub DKI (contoh)</t>
  </si>
  <si>
    <t xml:space="preserve">CB-26-8802</t>
  </si>
  <si>
    <t xml:space="preserve">P-0123</t>
  </si>
  <si>
    <t xml:space="preserve">CB-26-8803</t>
  </si>
  <si>
    <t xml:space="preserve">P-0124</t>
  </si>
  <si>
    <t xml:space="preserve">POS</t>
  </si>
  <si>
    <t xml:space="preserve">CB-26-8804</t>
  </si>
  <si>
    <t xml:space="preserve">P-0125</t>
  </si>
  <si>
    <t xml:space="preserve">CB-26-8805</t>
  </si>
  <si>
    <t xml:space="preserve">P-0126</t>
  </si>
  <si>
    <t xml:space="preserve">CB-26-8806</t>
  </si>
  <si>
    <t xml:space="preserve">P-0127</t>
  </si>
  <si>
    <t xml:space="preserve">CB-26-8807</t>
  </si>
  <si>
    <t xml:space="preserve">P-0128</t>
  </si>
  <si>
    <t xml:space="preserve">CB-26-8808</t>
  </si>
  <si>
    <t xml:space="preserve">P-0129</t>
  </si>
  <si>
    <t xml:space="preserve">Invalid</t>
  </si>
  <si>
    <t xml:space="preserve">CB-26-8809</t>
  </si>
  <si>
    <t xml:space="preserve">P-0130</t>
  </si>
  <si>
    <t xml:space="preserve">CB-26-8810</t>
  </si>
  <si>
    <t xml:space="preserve">P-0131</t>
  </si>
  <si>
    <t xml:space="preserve">CB-26-8811</t>
  </si>
  <si>
    <t xml:space="preserve">P-0132</t>
  </si>
  <si>
    <t xml:space="preserve">CB-26-8812</t>
  </si>
  <si>
    <t xml:space="preserve">P-0133</t>
  </si>
  <si>
    <t xml:space="preserve">CB-26-8813</t>
  </si>
  <si>
    <t xml:space="preserve">P-0134</t>
  </si>
  <si>
    <t xml:space="preserve">CB-26-8814</t>
  </si>
  <si>
    <t xml:space="preserve">P-0135</t>
  </si>
  <si>
    <t xml:space="preserve">CB-26-8815</t>
  </si>
  <si>
    <t xml:space="preserve">P-0136</t>
  </si>
  <si>
    <t xml:space="preserve">CB-26-8816</t>
  </si>
  <si>
    <t xml:space="preserve">P-0137</t>
  </si>
  <si>
    <t xml:space="preserve">CB-26-8817</t>
  </si>
  <si>
    <t xml:space="preserve">P-0138</t>
  </si>
  <si>
    <t xml:space="preserve">CB-26-8818</t>
  </si>
  <si>
    <t xml:space="preserve">P-0139</t>
  </si>
  <si>
    <t xml:space="preserve">CB-26-8819</t>
  </si>
  <si>
    <t xml:space="preserve">P-0140</t>
  </si>
  <si>
    <t xml:space="preserve">CB-26-8820</t>
  </si>
  <si>
    <t xml:space="preserve">P-0141</t>
  </si>
  <si>
    <t xml:space="preserve">CB-26-8821</t>
  </si>
  <si>
    <t xml:space="preserve">P-0142</t>
  </si>
  <si>
    <t xml:space="preserve">CB-26-8822</t>
  </si>
  <si>
    <t xml:space="preserve">P-0143</t>
  </si>
  <si>
    <t xml:space="preserve">CB-26-8823</t>
  </si>
  <si>
    <t xml:space="preserve">P-0144</t>
  </si>
  <si>
    <t xml:space="preserve">CB-26-8824</t>
  </si>
  <si>
    <t xml:space="preserve">P-0145</t>
  </si>
  <si>
    <t xml:space="preserve">CB-26-8825</t>
  </si>
  <si>
    <t xml:space="preserve">P-0146</t>
  </si>
  <si>
    <t xml:space="preserve">CB-26-8826</t>
  </si>
  <si>
    <t xml:space="preserve">P-0147</t>
  </si>
  <si>
    <t xml:space="preserve">CB-26-8827</t>
  </si>
  <si>
    <t xml:space="preserve">P-0148</t>
  </si>
  <si>
    <t xml:space="preserve">CB-26-8828</t>
  </si>
  <si>
    <t xml:space="preserve">P-0149</t>
  </si>
  <si>
    <t xml:space="preserve">CB-26-8829</t>
  </si>
  <si>
    <t xml:space="preserve">P-0150</t>
  </si>
  <si>
    <t xml:space="preserve">CB-26-8830</t>
  </si>
  <si>
    <t xml:space="preserve">P-0151</t>
  </si>
  <si>
    <t xml:space="preserve">CB-26-8831</t>
  </si>
  <si>
    <t xml:space="preserve">P-0152</t>
  </si>
  <si>
    <t xml:space="preserve">CB-26-8832</t>
  </si>
  <si>
    <t xml:space="preserve">P-0153</t>
  </si>
  <si>
    <t xml:space="preserve">CB-26-8833</t>
  </si>
  <si>
    <t xml:space="preserve">P-0154</t>
  </si>
  <si>
    <t xml:space="preserve">CB-26-8834</t>
  </si>
  <si>
    <t xml:space="preserve">P-0155</t>
  </si>
  <si>
    <t xml:space="preserve">CB-26-8835</t>
  </si>
  <si>
    <t xml:space="preserve">P-0156</t>
  </si>
  <si>
    <t xml:space="preserve">CB-26-8836</t>
  </si>
  <si>
    <t xml:space="preserve">P-0157</t>
  </si>
  <si>
    <t xml:space="preserve">CB-26-8837</t>
  </si>
  <si>
    <t xml:space="preserve">P-0158</t>
  </si>
  <si>
    <t xml:space="preserve">CB-26-8838</t>
  </si>
  <si>
    <t xml:space="preserve">P-0159</t>
  </si>
  <si>
    <t xml:space="preserve">CB-26-8839</t>
  </si>
  <si>
    <t xml:space="preserve">P-0160</t>
  </si>
  <si>
    <t xml:space="preserve">CB-26-8840</t>
  </si>
  <si>
    <t xml:space="preserve">P-0161</t>
  </si>
  <si>
    <t xml:space="preserve">CB-26-8841</t>
  </si>
  <si>
    <t xml:space="preserve">P-0162</t>
  </si>
  <si>
    <t xml:space="preserve">CB-26-8842</t>
  </si>
  <si>
    <t xml:space="preserve">P-0163</t>
  </si>
  <si>
    <t xml:space="preserve">CB-26-8843</t>
  </si>
  <si>
    <t xml:space="preserve">P-0164</t>
  </si>
  <si>
    <t xml:space="preserve">CB-26-8844</t>
  </si>
  <si>
    <t xml:space="preserve">P-0165</t>
  </si>
  <si>
    <t xml:space="preserve">CB-26-8845</t>
  </si>
  <si>
    <t xml:space="preserve">P-0166</t>
  </si>
  <si>
    <t xml:space="preserve">CB-26-8846</t>
  </si>
  <si>
    <t xml:space="preserve">P-0167</t>
  </si>
  <si>
    <t xml:space="preserve">CB-26-8847</t>
  </si>
  <si>
    <t xml:space="preserve">P-0168</t>
  </si>
  <si>
    <t xml:space="preserve">CB-26-8848</t>
  </si>
  <si>
    <t xml:space="preserve">P-0169</t>
  </si>
  <si>
    <t xml:space="preserve">CB-26-8849</t>
  </si>
  <si>
    <t xml:space="preserve">P-0170</t>
  </si>
  <si>
    <t xml:space="preserve">CB-26-8850</t>
  </si>
  <si>
    <t xml:space="preserve">P-0171</t>
  </si>
  <si>
    <t xml:space="preserve">CB-26-8851</t>
  </si>
  <si>
    <t xml:space="preserve">P-0172</t>
  </si>
  <si>
    <t xml:space="preserve">CB-26-8852</t>
  </si>
  <si>
    <t xml:space="preserve">P-0173</t>
  </si>
  <si>
    <t xml:space="preserve">CB-26-8853</t>
  </si>
  <si>
    <t xml:space="preserve">P-0174</t>
  </si>
  <si>
    <t xml:space="preserve">CB-26-8854</t>
  </si>
  <si>
    <t xml:space="preserve">P-0175</t>
  </si>
  <si>
    <t xml:space="preserve">CB-26-8855</t>
  </si>
  <si>
    <t xml:space="preserve">P-0176</t>
  </si>
  <si>
    <t xml:space="preserve">CB-26-8856</t>
  </si>
  <si>
    <t xml:space="preserve">P-0177</t>
  </si>
  <si>
    <t xml:space="preserve">CB-26-8857</t>
  </si>
  <si>
    <t xml:space="preserve">P-0178</t>
  </si>
  <si>
    <t xml:space="preserve">CB-26-8858</t>
  </si>
  <si>
    <t xml:space="preserve">P-0179</t>
  </si>
  <si>
    <t xml:space="preserve">CB-26-8859</t>
  </si>
  <si>
    <t xml:space="preserve">P-0180</t>
  </si>
  <si>
    <t xml:space="preserve">Hasil adapter software: semua sampel dari tiga alat dalam satu format. Semua kolom berwarna hitam adalah rumus yang menarik data dari sheet 2, 3, dan 4.</t>
  </si>
  <si>
    <t xml:space="preserve">sumber_alat</t>
  </si>
  <si>
    <t xml:space="preserve">id_sampel</t>
  </si>
  <si>
    <t xml:space="preserve">hasil_16</t>
  </si>
  <si>
    <t xml:space="preserve">hasil_18</t>
  </si>
  <si>
    <t xml:space="preserve">hasil_lain (52+pool)</t>
  </si>
  <si>
    <t xml:space="preserve">valid</t>
  </si>
  <si>
    <t xml:space="preserve">tgl_hasil</t>
  </si>
  <si>
    <t xml:space="preserve">kelengkapan_data</t>
  </si>
  <si>
    <t xml:space="preserve">Lengkap: Ct + kurva + pra-analitik + cabang B</t>
  </si>
  <si>
    <t xml:space="preserve">CerviScan</t>
  </si>
  <si>
    <t xml:space="preserve">Ct per kanal + kontrol internal</t>
  </si>
  <si>
    <t xml:space="preserve">cobas</t>
  </si>
  <si>
    <t xml:space="preserve">Kategori saja (Ct perlu cek)</t>
  </si>
  <si>
    <t xml:space="preserve">Data tindak lanjut yang dicatat software (sama untuk ketiga alat). Kolom biru = contoh isian kader/bidan; kolom hitam = rumus.</t>
  </si>
  <si>
    <t xml:space="preserve">tgl_hasil (rumus)</t>
  </si>
  <si>
    <t xml:space="preserve">hari_ke_kontak (rumus)</t>
  </si>
  <si>
    <t xml:space="preserve">hari_ke_iva (rumus)</t>
  </si>
  <si>
    <t xml:space="preserve">iva_dalam_target (rumus)</t>
  </si>
  <si>
    <t xml:space="preserve">tgl_recall (rumus)</t>
  </si>
  <si>
    <t xml:space="preserve">Tidak perlu</t>
  </si>
  <si>
    <t xml:space="preserve">Tidak ada</t>
  </si>
  <si>
    <t xml:space="preserve">Positif &lt;75%</t>
  </si>
  <si>
    <t xml:space="preserve">Krioterapi</t>
  </si>
  <si>
    <t xml:space="preserve">Positif &gt;=75% atau curiga kanker</t>
  </si>
  <si>
    <t xml:space="preserve">Rujuk FKTL</t>
  </si>
  <si>
    <t xml:space="preserve">CIN3</t>
  </si>
  <si>
    <t xml:space="preserve">Ablasi termal</t>
  </si>
  <si>
    <t xml:space="preserve">Ringkasan per alat (semua rumus). Ingat: komposisi positif dibuat ~20% untuk demo.</t>
  </si>
  <si>
    <t xml:space="preserve">Indikator</t>
  </si>
  <si>
    <t xml:space="preserve">Catatan</t>
  </si>
  <si>
    <t xml:space="preserve">Jumlah sampel</t>
  </si>
  <si>
    <t xml:space="preserve">Sheet 5</t>
  </si>
  <si>
    <t xml:space="preserve">Positif 16/18</t>
  </si>
  <si>
    <t xml:space="preserve">Positif lain</t>
  </si>
  <si>
    <t xml:space="preserve">% invalid</t>
  </si>
  <si>
    <t xml:space="preserve">Sasaran desain: serendah mungkin</t>
  </si>
  <si>
    <t xml:space="preserve">% positif (16/18 + lain)</t>
  </si>
  <si>
    <t xml:space="preserve">Demo ~20%; program nyata ~4%</t>
  </si>
  <si>
    <t xml:space="preserve">Positif yang IVA &lt;= 60 hari</t>
  </si>
  <si>
    <t xml:space="preserve">KPI utama loop</t>
  </si>
  <si>
    <t xml:space="preserve">% positif IVA &lt;= 60 hari</t>
  </si>
  <si>
    <t xml:space="preserve">Target pilot &gt;= 80%</t>
  </si>
  <si>
    <t xml:space="preserve">Rata-rata hari hasil ke kontak kader</t>
  </si>
  <si>
    <t xml:space="preserve">Target &lt;= 2 hari</t>
  </si>
  <si>
    <t xml:space="preserve">Rata-rata delta-Ct sampel positif</t>
  </si>
  <si>
    <t xml:space="preserve">cobas: Ct perlu cek</t>
  </si>
  <si>
    <t xml:space="preserve">Variabel tersedia (Ya) di Kamus Data</t>
  </si>
  <si>
    <t xml:space="preserve">Termasuk yang lewat software</t>
  </si>
  <si>
    <t xml:space="preserve">Variabel 'Perlu cek'</t>
  </si>
  <si>
    <t xml:space="preserve">Konfirmasi ke vendor</t>
  </si>
  <si>
    <t xml:space="preserve">Variabel tidak tersedia</t>
  </si>
  <si>
    <t xml:space="preserve">Catatan: pola tindak lanjut sengaja dibuat sama untuk ketiga alat, karena loop dijalankan software yang sama. Perbedaan antar alat ada di kelengkapan data (baris 14-17), bukan di kinerja tindak lanjut.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</si>
</sst>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\-mm\-dd\ hh:mm"/>
    <numFmt numFmtId="166" formatCode="yyyy\-mm\-dd"/>
    <numFmt numFmtId="167" formatCode="0.0"/>
    <numFmt numFmtId="168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A5F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B00020"/>
      <name val="Arial"/>
      <family val="0"/>
      <charset val="1"/>
    </font>
    <font>
      <b val="true"/>
      <sz val="12"/>
      <color rgb="FF1F3A5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2F8F"/>
      <name val="Arial"/>
      <family val="0"/>
      <charset val="1"/>
    </font>
    <font>
      <sz val="10"/>
      <name val="Arial"/>
      <family val="2"/>
    </font>
    <font>
      <i val="true"/>
      <sz val="11"/>
      <color rgb="FF555555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6C9"/>
        <bgColor rgb="FFFCE9D6"/>
      </patternFill>
    </fill>
    <fill>
      <patternFill patternType="solid">
        <fgColor rgb="FF1F3A5F"/>
        <bgColor rgb="FF1F2F8F"/>
      </patternFill>
    </fill>
    <fill>
      <patternFill patternType="solid">
        <fgColor rgb="FFDDF0EC"/>
        <bgColor rgb="FFDCE8F7"/>
      </patternFill>
    </fill>
    <fill>
      <patternFill patternType="solid">
        <fgColor rgb="FFDCE8F7"/>
        <bgColor rgb="FFDDF0EC"/>
      </patternFill>
    </fill>
    <fill>
      <patternFill patternType="solid">
        <fgColor rgb="FFFCE9D6"/>
        <bgColor rgb="FFFFF6C9"/>
      </patternFill>
    </fill>
    <fill>
      <patternFill patternType="solid">
        <fgColor rgb="FF0F6B66"/>
        <bgColor rgb="FF008080"/>
      </patternFill>
    </fill>
    <fill>
      <patternFill patternType="solid">
        <fgColor rgb="FF2B5C9E"/>
        <bgColor rgb="FF0F6B66"/>
      </patternFill>
    </fill>
    <fill>
      <patternFill patternType="solid">
        <fgColor rgb="FFB4610F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C"/>
      </left>
      <right style="thin">
        <color rgb="FFC9D3DC"/>
      </right>
      <top style="thin">
        <color rgb="FFC9D3DC"/>
      </top>
      <bottom style="thin">
        <color rgb="FFC9D3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B00020"/>
      <rgbColor rgb="FF008000"/>
      <rgbColor rgb="FF000080"/>
      <rgbColor rgb="FFB4610F"/>
      <rgbColor rgb="FF800080"/>
      <rgbColor rgb="FF0F6B66"/>
      <rgbColor rgb="FFC0C0C0"/>
      <rgbColor rgb="FF808080"/>
      <rgbColor rgb="FF9999FF"/>
      <rgbColor rgb="FF993366"/>
      <rgbColor rgb="FFFFF6C9"/>
      <rgbColor rgb="FFDDF0EC"/>
      <rgbColor rgb="FF660066"/>
      <rgbColor rgb="FFFF8080"/>
      <rgbColor rgb="FF2B5C9E"/>
      <rgbColor rgb="FFC9D3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8F7"/>
      <rgbColor rgb="FFCCFFCC"/>
      <rgbColor rgb="FFFCE9D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A5F"/>
      <rgbColor rgb="FF339966"/>
      <rgbColor rgb="FF003300"/>
      <rgbColor rgb="FF333300"/>
      <rgbColor rgb="FF993300"/>
      <rgbColor rgb="FF993366"/>
      <rgbColor rgb="FF1F2F8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95"/>
    <col collapsed="false" customWidth="true" hidden="false" outlineLevel="0" max="3" min="3" style="1" width="70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23.25" hidden="false" customHeight="true" outlineLevel="0" collapsed="false">
      <c r="A4" s="4" t="s">
        <v>2</v>
      </c>
      <c r="B4" s="5" t="s">
        <v>3</v>
      </c>
    </row>
    <row r="5" customFormat="false" ht="15" hidden="false" customHeight="true" outlineLevel="0" collapsed="false">
      <c r="A5" s="6" t="s">
        <v>4</v>
      </c>
      <c r="B5" s="5" t="s">
        <v>5</v>
      </c>
    </row>
    <row r="6" customFormat="false" ht="23.25" hidden="false" customHeight="true" outlineLevel="0" collapsed="false">
      <c r="A6" s="4" t="s">
        <v>6</v>
      </c>
      <c r="B6" s="5" t="s">
        <v>7</v>
      </c>
    </row>
    <row r="7" customFormat="false" ht="23.25" hidden="false" customHeight="true" outlineLevel="0" collapsed="false">
      <c r="A7" s="4" t="s">
        <v>8</v>
      </c>
      <c r="B7" s="5" t="s">
        <v>9</v>
      </c>
    </row>
    <row r="8" customFormat="false" ht="34.5" hidden="false" customHeight="true" outlineLevel="0" collapsed="false">
      <c r="A8" s="4" t="s">
        <v>10</v>
      </c>
      <c r="B8" s="5" t="s">
        <v>11</v>
      </c>
    </row>
    <row r="9" customFormat="false" ht="23.25" hidden="false" customHeight="true" outlineLevel="0" collapsed="false">
      <c r="A9" s="4" t="s">
        <v>12</v>
      </c>
      <c r="B9" s="5" t="s">
        <v>13</v>
      </c>
    </row>
    <row r="10" customFormat="false" ht="23.25" hidden="false" customHeight="true" outlineLevel="0" collapsed="false">
      <c r="A10" s="4" t="s">
        <v>14</v>
      </c>
      <c r="B10" s="5" t="s">
        <v>15</v>
      </c>
    </row>
    <row r="12" customFormat="false" ht="15" hidden="false" customHeight="true" outlineLevel="0" collapsed="false">
      <c r="A12" s="7" t="s">
        <v>16</v>
      </c>
    </row>
    <row r="13" customFormat="false" ht="15" hidden="false" customHeight="true" outlineLevel="0" collapsed="false">
      <c r="A13" s="8" t="s">
        <v>17</v>
      </c>
      <c r="B13" s="9" t="n">
        <v>40</v>
      </c>
      <c r="C13" s="10" t="s">
        <v>18</v>
      </c>
    </row>
    <row r="14" customFormat="false" ht="15" hidden="false" customHeight="true" outlineLevel="0" collapsed="false">
      <c r="A14" s="8" t="s">
        <v>19</v>
      </c>
      <c r="B14" s="9" t="n">
        <v>35</v>
      </c>
      <c r="C14" s="10" t="s">
        <v>20</v>
      </c>
    </row>
    <row r="15" customFormat="false" ht="15" hidden="false" customHeight="true" outlineLevel="0" collapsed="false">
      <c r="A15" s="8" t="s">
        <v>21</v>
      </c>
      <c r="B15" s="9" t="n">
        <v>7</v>
      </c>
      <c r="C15" s="10" t="s">
        <v>22</v>
      </c>
    </row>
    <row r="16" customFormat="false" ht="15" hidden="false" customHeight="true" outlineLevel="0" collapsed="false">
      <c r="A16" s="8" t="s">
        <v>23</v>
      </c>
      <c r="B16" s="9" t="n">
        <v>60</v>
      </c>
      <c r="C16" s="10" t="s">
        <v>24</v>
      </c>
    </row>
    <row r="17" customFormat="false" ht="15" hidden="false" customHeight="true" outlineLevel="0" collapsed="false">
      <c r="A17" s="8" t="s">
        <v>25</v>
      </c>
      <c r="B17" s="9" t="n">
        <v>10</v>
      </c>
      <c r="C17" s="10" t="s">
        <v>26</v>
      </c>
    </row>
    <row r="18" customFormat="false" ht="15" hidden="false" customHeight="true" outlineLevel="0" collapsed="false">
      <c r="A18" s="8" t="s">
        <v>27</v>
      </c>
      <c r="B18" s="9" t="n">
        <v>3</v>
      </c>
      <c r="C18" s="10" t="s">
        <v>26</v>
      </c>
    </row>
    <row r="19" customFormat="false" ht="15" hidden="false" customHeight="true" outlineLevel="0" collapsed="false">
      <c r="A19" s="8" t="s">
        <v>28</v>
      </c>
      <c r="B19" s="9" t="n">
        <v>1</v>
      </c>
      <c r="C19" s="10" t="s">
        <v>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34"/>
    <col collapsed="false" customWidth="true" hidden="false" outlineLevel="0" max="4" min="4" style="1" width="12"/>
    <col collapsed="false" customWidth="true" hidden="false" outlineLevel="0" max="5" min="5" style="1" width="30"/>
    <col collapsed="false" customWidth="true" hidden="false" outlineLevel="0" max="8" min="6" style="1" width="20"/>
    <col collapsed="false" customWidth="true" hidden="false" outlineLevel="0" max="9" min="9" style="1" width="16"/>
    <col collapsed="false" customWidth="true" hidden="false" outlineLevel="0" max="10" min="10" style="1" width="30"/>
  </cols>
  <sheetData>
    <row r="1" customFormat="false" ht="23.25" hidden="false" customHeight="true" outlineLevel="0" collapsed="false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  <c r="F1" s="11" t="s">
        <v>34</v>
      </c>
      <c r="G1" s="11" t="s">
        <v>35</v>
      </c>
      <c r="H1" s="11" t="s">
        <v>36</v>
      </c>
      <c r="I1" s="11" t="s">
        <v>37</v>
      </c>
      <c r="J1" s="11" t="s">
        <v>38</v>
      </c>
    </row>
    <row r="2" customFormat="false" ht="15" hidden="false" customHeight="true" outlineLevel="0" collapsed="false">
      <c r="A2" s="12" t="s">
        <v>39</v>
      </c>
      <c r="B2" s="12" t="s">
        <v>40</v>
      </c>
      <c r="C2" s="12" t="s">
        <v>41</v>
      </c>
      <c r="D2" s="12" t="s">
        <v>42</v>
      </c>
      <c r="E2" s="12" t="s">
        <v>43</v>
      </c>
      <c r="F2" s="13" t="s">
        <v>44</v>
      </c>
      <c r="G2" s="14" t="s">
        <v>45</v>
      </c>
      <c r="H2" s="15" t="s">
        <v>45</v>
      </c>
      <c r="I2" s="12" t="s">
        <v>46</v>
      </c>
      <c r="J2" s="12" t="s">
        <v>47</v>
      </c>
    </row>
    <row r="3" customFormat="false" ht="15" hidden="false" customHeight="true" outlineLevel="0" collapsed="false">
      <c r="A3" s="12" t="s">
        <v>39</v>
      </c>
      <c r="B3" s="12" t="s">
        <v>48</v>
      </c>
      <c r="C3" s="12" t="s">
        <v>49</v>
      </c>
      <c r="D3" s="12" t="s">
        <v>42</v>
      </c>
      <c r="E3" s="12" t="s">
        <v>50</v>
      </c>
      <c r="F3" s="13" t="s">
        <v>44</v>
      </c>
      <c r="G3" s="14" t="s">
        <v>45</v>
      </c>
      <c r="H3" s="15" t="s">
        <v>45</v>
      </c>
      <c r="I3" s="12" t="s">
        <v>46</v>
      </c>
      <c r="J3" s="12" t="s">
        <v>51</v>
      </c>
    </row>
    <row r="4" customFormat="false" ht="15" hidden="false" customHeight="true" outlineLevel="0" collapsed="false">
      <c r="A4" s="12" t="s">
        <v>39</v>
      </c>
      <c r="B4" s="12" t="s">
        <v>52</v>
      </c>
      <c r="C4" s="12" t="s">
        <v>53</v>
      </c>
      <c r="D4" s="12" t="s">
        <v>54</v>
      </c>
      <c r="E4" s="12" t="s">
        <v>55</v>
      </c>
      <c r="F4" s="13" t="s">
        <v>44</v>
      </c>
      <c r="G4" s="14" t="s">
        <v>44</v>
      </c>
      <c r="H4" s="15" t="s">
        <v>44</v>
      </c>
      <c r="I4" s="12" t="s">
        <v>46</v>
      </c>
      <c r="J4" s="12" t="s">
        <v>56</v>
      </c>
    </row>
    <row r="5" customFormat="false" ht="23.25" hidden="false" customHeight="true" outlineLevel="0" collapsed="false">
      <c r="A5" s="12" t="s">
        <v>39</v>
      </c>
      <c r="B5" s="12" t="s">
        <v>57</v>
      </c>
      <c r="C5" s="12" t="s">
        <v>58</v>
      </c>
      <c r="D5" s="12" t="s">
        <v>59</v>
      </c>
      <c r="E5" s="12" t="s">
        <v>60</v>
      </c>
      <c r="F5" s="13" t="s">
        <v>61</v>
      </c>
      <c r="G5" s="14" t="s">
        <v>62</v>
      </c>
      <c r="H5" s="15" t="s">
        <v>62</v>
      </c>
      <c r="I5" s="12" t="s">
        <v>63</v>
      </c>
      <c r="J5" s="12" t="s">
        <v>64</v>
      </c>
    </row>
    <row r="6" customFormat="false" ht="23.25" hidden="false" customHeight="true" outlineLevel="0" collapsed="false">
      <c r="A6" s="12" t="s">
        <v>39</v>
      </c>
      <c r="B6" s="12" t="s">
        <v>65</v>
      </c>
      <c r="C6" s="12" t="s">
        <v>66</v>
      </c>
      <c r="D6" s="12" t="s">
        <v>59</v>
      </c>
      <c r="E6" s="12" t="s">
        <v>67</v>
      </c>
      <c r="F6" s="13" t="s">
        <v>61</v>
      </c>
      <c r="G6" s="14" t="s">
        <v>68</v>
      </c>
      <c r="H6" s="15" t="s">
        <v>68</v>
      </c>
      <c r="I6" s="12" t="s">
        <v>63</v>
      </c>
      <c r="J6" s="12" t="s">
        <v>69</v>
      </c>
    </row>
    <row r="7" customFormat="false" ht="23.25" hidden="false" customHeight="true" outlineLevel="0" collapsed="false">
      <c r="A7" s="12" t="s">
        <v>39</v>
      </c>
      <c r="B7" s="12" t="s">
        <v>70</v>
      </c>
      <c r="C7" s="12" t="s">
        <v>71</v>
      </c>
      <c r="D7" s="12" t="s">
        <v>72</v>
      </c>
      <c r="E7" s="12" t="s">
        <v>73</v>
      </c>
      <c r="F7" s="13" t="s">
        <v>61</v>
      </c>
      <c r="G7" s="14" t="s">
        <v>74</v>
      </c>
      <c r="H7" s="15" t="s">
        <v>74</v>
      </c>
      <c r="I7" s="12" t="s">
        <v>63</v>
      </c>
      <c r="J7" s="12" t="s">
        <v>75</v>
      </c>
    </row>
    <row r="8" customFormat="false" ht="23.25" hidden="false" customHeight="true" outlineLevel="0" collapsed="false">
      <c r="A8" s="12" t="s">
        <v>39</v>
      </c>
      <c r="B8" s="12" t="s">
        <v>76</v>
      </c>
      <c r="C8" s="12" t="s">
        <v>77</v>
      </c>
      <c r="D8" s="12" t="s">
        <v>78</v>
      </c>
      <c r="E8" s="12" t="s">
        <v>79</v>
      </c>
      <c r="F8" s="13" t="s">
        <v>80</v>
      </c>
      <c r="G8" s="14" t="s">
        <v>81</v>
      </c>
      <c r="H8" s="15" t="s">
        <v>81</v>
      </c>
      <c r="I8" s="12" t="s">
        <v>46</v>
      </c>
      <c r="J8" s="12" t="s">
        <v>82</v>
      </c>
    </row>
    <row r="9" customFormat="false" ht="23.25" hidden="false" customHeight="true" outlineLevel="0" collapsed="false">
      <c r="A9" s="12" t="s">
        <v>83</v>
      </c>
      <c r="B9" s="12" t="s">
        <v>84</v>
      </c>
      <c r="C9" s="12" t="s">
        <v>85</v>
      </c>
      <c r="D9" s="12" t="s">
        <v>59</v>
      </c>
      <c r="E9" s="12" t="s">
        <v>86</v>
      </c>
      <c r="F9" s="13" t="s">
        <v>44</v>
      </c>
      <c r="G9" s="14" t="s">
        <v>44</v>
      </c>
      <c r="H9" s="15" t="s">
        <v>44</v>
      </c>
      <c r="I9" s="12" t="s">
        <v>63</v>
      </c>
      <c r="J9" s="12" t="s">
        <v>87</v>
      </c>
    </row>
    <row r="10" customFormat="false" ht="23.25" hidden="false" customHeight="true" outlineLevel="0" collapsed="false">
      <c r="A10" s="12" t="s">
        <v>83</v>
      </c>
      <c r="B10" s="12" t="s">
        <v>88</v>
      </c>
      <c r="C10" s="12" t="s">
        <v>89</v>
      </c>
      <c r="D10" s="12" t="s">
        <v>90</v>
      </c>
      <c r="E10" s="12" t="s">
        <v>91</v>
      </c>
      <c r="F10" s="13" t="s">
        <v>92</v>
      </c>
      <c r="G10" s="14" t="s">
        <v>93</v>
      </c>
      <c r="H10" s="15" t="s">
        <v>93</v>
      </c>
      <c r="I10" s="12" t="s">
        <v>63</v>
      </c>
      <c r="J10" s="12" t="s">
        <v>94</v>
      </c>
    </row>
    <row r="11" customFormat="false" ht="15" hidden="false" customHeight="true" outlineLevel="0" collapsed="false">
      <c r="A11" s="12" t="s">
        <v>83</v>
      </c>
      <c r="B11" s="12" t="s">
        <v>95</v>
      </c>
      <c r="C11" s="12" t="s">
        <v>96</v>
      </c>
      <c r="D11" s="12" t="s">
        <v>72</v>
      </c>
      <c r="E11" s="12" t="s">
        <v>73</v>
      </c>
      <c r="F11" s="13" t="s">
        <v>44</v>
      </c>
      <c r="G11" s="14" t="s">
        <v>97</v>
      </c>
      <c r="H11" s="15" t="s">
        <v>97</v>
      </c>
      <c r="I11" s="12" t="s">
        <v>98</v>
      </c>
      <c r="J11" s="12" t="s">
        <v>99</v>
      </c>
    </row>
    <row r="12" customFormat="false" ht="23.25" hidden="false" customHeight="true" outlineLevel="0" collapsed="false">
      <c r="A12" s="12" t="s">
        <v>83</v>
      </c>
      <c r="B12" s="12" t="s">
        <v>100</v>
      </c>
      <c r="C12" s="12" t="s">
        <v>101</v>
      </c>
      <c r="D12" s="12" t="s">
        <v>59</v>
      </c>
      <c r="E12" s="12" t="s">
        <v>102</v>
      </c>
      <c r="F12" s="13" t="s">
        <v>103</v>
      </c>
      <c r="G12" s="14" t="s">
        <v>44</v>
      </c>
      <c r="H12" s="15" t="s">
        <v>44</v>
      </c>
      <c r="I12" s="12" t="s">
        <v>63</v>
      </c>
      <c r="J12" s="12" t="s">
        <v>104</v>
      </c>
    </row>
    <row r="13" customFormat="false" ht="23.25" hidden="false" customHeight="true" outlineLevel="0" collapsed="false">
      <c r="A13" s="12" t="s">
        <v>83</v>
      </c>
      <c r="B13" s="12" t="s">
        <v>105</v>
      </c>
      <c r="C13" s="12" t="s">
        <v>106</v>
      </c>
      <c r="D13" s="12" t="s">
        <v>59</v>
      </c>
      <c r="E13" s="12" t="s">
        <v>107</v>
      </c>
      <c r="F13" s="13" t="s">
        <v>97</v>
      </c>
      <c r="G13" s="14" t="s">
        <v>44</v>
      </c>
      <c r="H13" s="15" t="s">
        <v>44</v>
      </c>
      <c r="I13" s="12" t="s">
        <v>63</v>
      </c>
      <c r="J13" s="12" t="s">
        <v>104</v>
      </c>
    </row>
    <row r="14" customFormat="false" ht="23.25" hidden="false" customHeight="true" outlineLevel="0" collapsed="false">
      <c r="A14" s="12" t="s">
        <v>108</v>
      </c>
      <c r="B14" s="12" t="s">
        <v>109</v>
      </c>
      <c r="C14" s="12" t="s">
        <v>110</v>
      </c>
      <c r="D14" s="12" t="s">
        <v>42</v>
      </c>
      <c r="E14" s="12" t="s">
        <v>111</v>
      </c>
      <c r="F14" s="13" t="s">
        <v>44</v>
      </c>
      <c r="G14" s="14" t="s">
        <v>97</v>
      </c>
      <c r="H14" s="15" t="s">
        <v>97</v>
      </c>
      <c r="I14" s="12" t="s">
        <v>98</v>
      </c>
      <c r="J14" s="12" t="s">
        <v>112</v>
      </c>
    </row>
    <row r="15" customFormat="false" ht="15" hidden="false" customHeight="true" outlineLevel="0" collapsed="false">
      <c r="A15" s="12" t="s">
        <v>113</v>
      </c>
      <c r="B15" s="12" t="s">
        <v>114</v>
      </c>
      <c r="C15" s="12" t="s">
        <v>115</v>
      </c>
      <c r="D15" s="12" t="s">
        <v>59</v>
      </c>
      <c r="E15" s="12" t="s">
        <v>116</v>
      </c>
      <c r="F15" s="13" t="s">
        <v>117</v>
      </c>
      <c r="G15" s="14" t="s">
        <v>118</v>
      </c>
      <c r="H15" s="15" t="s">
        <v>119</v>
      </c>
      <c r="I15" s="12" t="s">
        <v>98</v>
      </c>
      <c r="J15" s="12" t="s">
        <v>120</v>
      </c>
    </row>
    <row r="16" customFormat="false" ht="23.25" hidden="false" customHeight="true" outlineLevel="0" collapsed="false">
      <c r="A16" s="12" t="s">
        <v>113</v>
      </c>
      <c r="B16" s="12" t="s">
        <v>121</v>
      </c>
      <c r="C16" s="12" t="s">
        <v>122</v>
      </c>
      <c r="D16" s="12" t="s">
        <v>42</v>
      </c>
      <c r="E16" s="12" t="s">
        <v>123</v>
      </c>
      <c r="F16" s="13" t="s">
        <v>44</v>
      </c>
      <c r="G16" s="14" t="s">
        <v>124</v>
      </c>
      <c r="H16" s="15" t="s">
        <v>124</v>
      </c>
      <c r="I16" s="12" t="s">
        <v>98</v>
      </c>
      <c r="J16" s="12" t="s">
        <v>125</v>
      </c>
    </row>
    <row r="17" customFormat="false" ht="23.25" hidden="false" customHeight="true" outlineLevel="0" collapsed="false">
      <c r="A17" s="12" t="s">
        <v>113</v>
      </c>
      <c r="B17" s="12" t="s">
        <v>126</v>
      </c>
      <c r="C17" s="12" t="s">
        <v>127</v>
      </c>
      <c r="D17" s="12" t="s">
        <v>54</v>
      </c>
      <c r="E17" s="12" t="s">
        <v>128</v>
      </c>
      <c r="F17" s="13" t="s">
        <v>44</v>
      </c>
      <c r="G17" s="14" t="s">
        <v>44</v>
      </c>
      <c r="H17" s="15" t="s">
        <v>68</v>
      </c>
      <c r="I17" s="12" t="s">
        <v>63</v>
      </c>
      <c r="J17" s="12" t="s">
        <v>129</v>
      </c>
    </row>
    <row r="18" customFormat="false" ht="23.25" hidden="false" customHeight="true" outlineLevel="0" collapsed="false">
      <c r="A18" s="12" t="s">
        <v>113</v>
      </c>
      <c r="B18" s="12" t="s">
        <v>130</v>
      </c>
      <c r="C18" s="12" t="s">
        <v>131</v>
      </c>
      <c r="D18" s="12" t="s">
        <v>54</v>
      </c>
      <c r="E18" s="12" t="s">
        <v>128</v>
      </c>
      <c r="F18" s="13" t="s">
        <v>44</v>
      </c>
      <c r="G18" s="14" t="s">
        <v>44</v>
      </c>
      <c r="H18" s="15" t="s">
        <v>68</v>
      </c>
      <c r="I18" s="12" t="s">
        <v>63</v>
      </c>
      <c r="J18" s="12" t="s">
        <v>129</v>
      </c>
    </row>
    <row r="19" customFormat="false" ht="23.25" hidden="false" customHeight="true" outlineLevel="0" collapsed="false">
      <c r="A19" s="12" t="s">
        <v>113</v>
      </c>
      <c r="B19" s="12" t="s">
        <v>132</v>
      </c>
      <c r="C19" s="12" t="s">
        <v>133</v>
      </c>
      <c r="D19" s="12" t="s">
        <v>54</v>
      </c>
      <c r="E19" s="12" t="s">
        <v>128</v>
      </c>
      <c r="F19" s="13" t="s">
        <v>44</v>
      </c>
      <c r="G19" s="14" t="s">
        <v>44</v>
      </c>
      <c r="H19" s="15" t="s">
        <v>134</v>
      </c>
      <c r="I19" s="12" t="s">
        <v>63</v>
      </c>
      <c r="J19" s="12" t="s">
        <v>135</v>
      </c>
    </row>
    <row r="20" customFormat="false" ht="23.25" hidden="false" customHeight="true" outlineLevel="0" collapsed="false">
      <c r="A20" s="12" t="s">
        <v>113</v>
      </c>
      <c r="B20" s="12" t="s">
        <v>136</v>
      </c>
      <c r="C20" s="12" t="s">
        <v>137</v>
      </c>
      <c r="D20" s="12" t="s">
        <v>54</v>
      </c>
      <c r="E20" s="12" t="s">
        <v>128</v>
      </c>
      <c r="F20" s="13" t="s">
        <v>44</v>
      </c>
      <c r="G20" s="14" t="s">
        <v>138</v>
      </c>
      <c r="H20" s="15" t="s">
        <v>139</v>
      </c>
      <c r="I20" s="12" t="s">
        <v>63</v>
      </c>
      <c r="J20" s="12" t="s">
        <v>129</v>
      </c>
    </row>
    <row r="21" customFormat="false" ht="15" hidden="false" customHeight="true" outlineLevel="0" collapsed="false">
      <c r="A21" s="12" t="s">
        <v>113</v>
      </c>
      <c r="B21" s="12" t="s">
        <v>140</v>
      </c>
      <c r="C21" s="12" t="s">
        <v>141</v>
      </c>
      <c r="D21" s="12" t="s">
        <v>54</v>
      </c>
      <c r="E21" s="12" t="s">
        <v>142</v>
      </c>
      <c r="F21" s="13" t="s">
        <v>44</v>
      </c>
      <c r="G21" s="14" t="s">
        <v>143</v>
      </c>
      <c r="H21" s="15" t="s">
        <v>68</v>
      </c>
      <c r="I21" s="12" t="s">
        <v>98</v>
      </c>
      <c r="J21" s="12" t="s">
        <v>144</v>
      </c>
    </row>
    <row r="22" customFormat="false" ht="23.25" hidden="false" customHeight="true" outlineLevel="0" collapsed="false">
      <c r="A22" s="12" t="s">
        <v>113</v>
      </c>
      <c r="B22" s="12" t="s">
        <v>145</v>
      </c>
      <c r="C22" s="12" t="s">
        <v>146</v>
      </c>
      <c r="D22" s="12" t="s">
        <v>59</v>
      </c>
      <c r="E22" s="12" t="s">
        <v>147</v>
      </c>
      <c r="F22" s="13" t="s">
        <v>44</v>
      </c>
      <c r="G22" s="14" t="s">
        <v>44</v>
      </c>
      <c r="H22" s="15" t="s">
        <v>44</v>
      </c>
      <c r="I22" s="12" t="s">
        <v>63</v>
      </c>
      <c r="J22" s="12" t="s">
        <v>148</v>
      </c>
    </row>
    <row r="23" customFormat="false" ht="23.25" hidden="false" customHeight="true" outlineLevel="0" collapsed="false">
      <c r="A23" s="12" t="s">
        <v>113</v>
      </c>
      <c r="B23" s="12" t="s">
        <v>149</v>
      </c>
      <c r="C23" s="12" t="s">
        <v>150</v>
      </c>
      <c r="D23" s="12" t="s">
        <v>151</v>
      </c>
      <c r="E23" s="12" t="s">
        <v>152</v>
      </c>
      <c r="F23" s="13" t="s">
        <v>44</v>
      </c>
      <c r="G23" s="14" t="s">
        <v>153</v>
      </c>
      <c r="H23" s="15" t="s">
        <v>97</v>
      </c>
      <c r="I23" s="12" t="s">
        <v>98</v>
      </c>
      <c r="J23" s="12" t="s">
        <v>154</v>
      </c>
    </row>
    <row r="24" customFormat="false" ht="15" hidden="false" customHeight="true" outlineLevel="0" collapsed="false">
      <c r="A24" s="12" t="s">
        <v>113</v>
      </c>
      <c r="B24" s="12" t="s">
        <v>155</v>
      </c>
      <c r="C24" s="12" t="s">
        <v>156</v>
      </c>
      <c r="D24" s="12" t="s">
        <v>54</v>
      </c>
      <c r="E24" s="12" t="s">
        <v>157</v>
      </c>
      <c r="F24" s="13" t="s">
        <v>44</v>
      </c>
      <c r="G24" s="14" t="s">
        <v>158</v>
      </c>
      <c r="H24" s="15" t="s">
        <v>158</v>
      </c>
      <c r="I24" s="12" t="s">
        <v>98</v>
      </c>
      <c r="J24" s="12" t="s">
        <v>159</v>
      </c>
    </row>
    <row r="25" customFormat="false" ht="15" hidden="false" customHeight="true" outlineLevel="0" collapsed="false">
      <c r="A25" s="12" t="s">
        <v>160</v>
      </c>
      <c r="B25" s="12" t="s">
        <v>161</v>
      </c>
      <c r="C25" s="12" t="s">
        <v>162</v>
      </c>
      <c r="D25" s="12" t="s">
        <v>163</v>
      </c>
      <c r="E25" s="12" t="s">
        <v>164</v>
      </c>
      <c r="F25" s="13" t="s">
        <v>44</v>
      </c>
      <c r="G25" s="14" t="s">
        <v>97</v>
      </c>
      <c r="H25" s="15" t="s">
        <v>97</v>
      </c>
      <c r="I25" s="12" t="s">
        <v>98</v>
      </c>
      <c r="J25" s="12" t="s">
        <v>165</v>
      </c>
    </row>
    <row r="26" customFormat="false" ht="23.25" hidden="false" customHeight="true" outlineLevel="0" collapsed="false">
      <c r="A26" s="12" t="s">
        <v>160</v>
      </c>
      <c r="B26" s="12" t="s">
        <v>166</v>
      </c>
      <c r="C26" s="12" t="s">
        <v>167</v>
      </c>
      <c r="D26" s="12" t="s">
        <v>42</v>
      </c>
      <c r="E26" s="12" t="s">
        <v>168</v>
      </c>
      <c r="F26" s="13" t="s">
        <v>44</v>
      </c>
      <c r="G26" s="14" t="s">
        <v>97</v>
      </c>
      <c r="H26" s="15" t="s">
        <v>97</v>
      </c>
      <c r="I26" s="12" t="s">
        <v>63</v>
      </c>
      <c r="J26" s="12" t="s">
        <v>169</v>
      </c>
    </row>
    <row r="27" customFormat="false" ht="23.25" hidden="false" customHeight="true" outlineLevel="0" collapsed="false">
      <c r="A27" s="12" t="s">
        <v>160</v>
      </c>
      <c r="B27" s="12" t="s">
        <v>170</v>
      </c>
      <c r="C27" s="12" t="s">
        <v>171</v>
      </c>
      <c r="D27" s="12" t="s">
        <v>59</v>
      </c>
      <c r="E27" s="12" t="s">
        <v>172</v>
      </c>
      <c r="F27" s="13" t="s">
        <v>173</v>
      </c>
      <c r="G27" s="14" t="s">
        <v>97</v>
      </c>
      <c r="H27" s="15" t="s">
        <v>97</v>
      </c>
      <c r="I27" s="12" t="s">
        <v>63</v>
      </c>
      <c r="J27" s="12" t="s">
        <v>174</v>
      </c>
    </row>
    <row r="28" customFormat="false" ht="15" hidden="false" customHeight="true" outlineLevel="0" collapsed="false">
      <c r="A28" s="12" t="s">
        <v>160</v>
      </c>
      <c r="B28" s="12" t="s">
        <v>175</v>
      </c>
      <c r="C28" s="12" t="s">
        <v>176</v>
      </c>
      <c r="D28" s="12" t="s">
        <v>59</v>
      </c>
      <c r="E28" s="12" t="s">
        <v>177</v>
      </c>
      <c r="F28" s="13" t="s">
        <v>44</v>
      </c>
      <c r="G28" s="14" t="s">
        <v>97</v>
      </c>
      <c r="H28" s="15" t="s">
        <v>97</v>
      </c>
      <c r="I28" s="12" t="s">
        <v>98</v>
      </c>
      <c r="J28" s="12" t="s">
        <v>178</v>
      </c>
    </row>
    <row r="29" customFormat="false" ht="23.25" hidden="false" customHeight="true" outlineLevel="0" collapsed="false">
      <c r="A29" s="12" t="s">
        <v>179</v>
      </c>
      <c r="B29" s="12" t="s">
        <v>180</v>
      </c>
      <c r="C29" s="12" t="s">
        <v>181</v>
      </c>
      <c r="D29" s="12" t="s">
        <v>59</v>
      </c>
      <c r="E29" s="12" t="s">
        <v>182</v>
      </c>
      <c r="F29" s="13" t="s">
        <v>44</v>
      </c>
      <c r="G29" s="14" t="s">
        <v>44</v>
      </c>
      <c r="H29" s="15" t="s">
        <v>44</v>
      </c>
      <c r="I29" s="12" t="s">
        <v>63</v>
      </c>
      <c r="J29" s="12" t="s">
        <v>183</v>
      </c>
    </row>
    <row r="30" customFormat="false" ht="23.25" hidden="false" customHeight="true" outlineLevel="0" collapsed="false">
      <c r="A30" s="12" t="s">
        <v>179</v>
      </c>
      <c r="B30" s="12" t="s">
        <v>184</v>
      </c>
      <c r="C30" s="12" t="s">
        <v>185</v>
      </c>
      <c r="D30" s="12" t="s">
        <v>54</v>
      </c>
      <c r="E30" s="12" t="s">
        <v>142</v>
      </c>
      <c r="F30" s="13" t="s">
        <v>44</v>
      </c>
      <c r="G30" s="14" t="s">
        <v>44</v>
      </c>
      <c r="H30" s="15" t="s">
        <v>68</v>
      </c>
      <c r="I30" s="12" t="s">
        <v>63</v>
      </c>
      <c r="J30" s="12" t="s">
        <v>69</v>
      </c>
    </row>
    <row r="31" customFormat="false" ht="15" hidden="false" customHeight="true" outlineLevel="0" collapsed="false">
      <c r="A31" s="12" t="s">
        <v>186</v>
      </c>
      <c r="B31" s="12" t="s">
        <v>187</v>
      </c>
      <c r="C31" s="12" t="s">
        <v>188</v>
      </c>
      <c r="D31" s="12" t="s">
        <v>163</v>
      </c>
      <c r="E31" s="12" t="s">
        <v>164</v>
      </c>
      <c r="F31" s="13" t="s">
        <v>189</v>
      </c>
      <c r="G31" s="14" t="s">
        <v>189</v>
      </c>
      <c r="H31" s="15" t="s">
        <v>189</v>
      </c>
      <c r="I31" s="12" t="s">
        <v>46</v>
      </c>
      <c r="J31" s="12" t="s">
        <v>190</v>
      </c>
    </row>
    <row r="32" customFormat="false" ht="23.25" hidden="false" customHeight="true" outlineLevel="0" collapsed="false">
      <c r="A32" s="12" t="s">
        <v>186</v>
      </c>
      <c r="B32" s="12" t="s">
        <v>191</v>
      </c>
      <c r="C32" s="12" t="s">
        <v>192</v>
      </c>
      <c r="D32" s="12" t="s">
        <v>163</v>
      </c>
      <c r="E32" s="12" t="s">
        <v>164</v>
      </c>
      <c r="F32" s="13" t="s">
        <v>189</v>
      </c>
      <c r="G32" s="14" t="s">
        <v>189</v>
      </c>
      <c r="H32" s="15" t="s">
        <v>189</v>
      </c>
      <c r="I32" s="12" t="s">
        <v>63</v>
      </c>
      <c r="J32" s="12" t="s">
        <v>193</v>
      </c>
    </row>
    <row r="33" customFormat="false" ht="23.25" hidden="false" customHeight="true" outlineLevel="0" collapsed="false">
      <c r="A33" s="12" t="s">
        <v>186</v>
      </c>
      <c r="B33" s="12" t="s">
        <v>194</v>
      </c>
      <c r="C33" s="12" t="s">
        <v>195</v>
      </c>
      <c r="D33" s="12" t="s">
        <v>59</v>
      </c>
      <c r="E33" s="12" t="s">
        <v>196</v>
      </c>
      <c r="F33" s="13" t="s">
        <v>189</v>
      </c>
      <c r="G33" s="14" t="s">
        <v>189</v>
      </c>
      <c r="H33" s="15" t="s">
        <v>189</v>
      </c>
      <c r="I33" s="12" t="s">
        <v>63</v>
      </c>
      <c r="J33" s="12" t="s">
        <v>197</v>
      </c>
    </row>
    <row r="34" customFormat="false" ht="23.25" hidden="false" customHeight="true" outlineLevel="0" collapsed="false">
      <c r="A34" s="12" t="s">
        <v>186</v>
      </c>
      <c r="B34" s="12" t="s">
        <v>198</v>
      </c>
      <c r="C34" s="12" t="s">
        <v>199</v>
      </c>
      <c r="D34" s="12" t="s">
        <v>59</v>
      </c>
      <c r="E34" s="12" t="s">
        <v>200</v>
      </c>
      <c r="F34" s="13" t="s">
        <v>189</v>
      </c>
      <c r="G34" s="14" t="s">
        <v>189</v>
      </c>
      <c r="H34" s="15" t="s">
        <v>189</v>
      </c>
      <c r="I34" s="12" t="s">
        <v>63</v>
      </c>
      <c r="J34" s="12" t="s">
        <v>201</v>
      </c>
    </row>
    <row r="35" customFormat="false" ht="23.25" hidden="false" customHeight="true" outlineLevel="0" collapsed="false">
      <c r="A35" s="12" t="s">
        <v>186</v>
      </c>
      <c r="B35" s="12" t="s">
        <v>202</v>
      </c>
      <c r="C35" s="12" t="s">
        <v>203</v>
      </c>
      <c r="D35" s="12" t="s">
        <v>59</v>
      </c>
      <c r="E35" s="12" t="s">
        <v>204</v>
      </c>
      <c r="F35" s="13" t="s">
        <v>189</v>
      </c>
      <c r="G35" s="14" t="s">
        <v>189</v>
      </c>
      <c r="H35" s="15" t="s">
        <v>189</v>
      </c>
      <c r="I35" s="12" t="s">
        <v>63</v>
      </c>
      <c r="J35" s="12" t="s">
        <v>205</v>
      </c>
    </row>
    <row r="36" customFormat="false" ht="15" hidden="false" customHeight="true" outlineLevel="0" collapsed="false">
      <c r="A36" s="12" t="s">
        <v>186</v>
      </c>
      <c r="B36" s="12" t="s">
        <v>206</v>
      </c>
      <c r="C36" s="12" t="s">
        <v>207</v>
      </c>
      <c r="D36" s="12" t="s">
        <v>163</v>
      </c>
      <c r="E36" s="12" t="s">
        <v>208</v>
      </c>
      <c r="F36" s="13" t="s">
        <v>189</v>
      </c>
      <c r="G36" s="14" t="s">
        <v>189</v>
      </c>
      <c r="H36" s="15" t="s">
        <v>189</v>
      </c>
      <c r="I36" s="12" t="s">
        <v>46</v>
      </c>
      <c r="J36" s="12" t="s">
        <v>209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6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4" min="4" style="1" width="6"/>
    <col collapsed="false" customWidth="true" hidden="false" outlineLevel="0" max="5" min="5" style="1" width="14"/>
    <col collapsed="false" customWidth="true" hidden="false" outlineLevel="0" max="7" min="6" style="1" width="10"/>
    <col collapsed="false" customWidth="true" hidden="false" outlineLevel="0" max="8" min="8" style="1" width="15"/>
    <col collapsed="false" customWidth="true" hidden="false" outlineLevel="0" max="10" min="9" style="1" width="16"/>
    <col collapsed="false" customWidth="true" hidden="false" outlineLevel="0" max="11" min="11" style="1" width="10"/>
    <col collapsed="false" customWidth="true" hidden="false" outlineLevel="0" max="12" min="12" style="1" width="11"/>
    <col collapsed="false" customWidth="true" hidden="false" outlineLevel="0" max="13" min="13" style="1" width="12"/>
    <col collapsed="false" customWidth="true" hidden="false" outlineLevel="0" max="17" min="14" style="1" width="9"/>
    <col collapsed="false" customWidth="true" hidden="false" outlineLevel="0" max="18" min="18" style="1" width="10"/>
    <col collapsed="false" customWidth="true" hidden="false" outlineLevel="0" max="20" min="19" style="1" width="11"/>
    <col collapsed="false" customWidth="true" hidden="false" outlineLevel="0" max="21" min="21" style="1" width="14"/>
    <col collapsed="false" customWidth="true" hidden="false" outlineLevel="0" max="22" min="22" style="1" width="20"/>
    <col collapsed="false" customWidth="true" hidden="false" outlineLevel="0" max="25" min="23" style="1" width="11"/>
    <col collapsed="false" customWidth="true" hidden="false" outlineLevel="0" max="26" min="26" style="1" width="12"/>
    <col collapsed="false" customWidth="true" hidden="false" outlineLevel="0" max="28" min="27" style="1" width="13"/>
  </cols>
  <sheetData>
    <row r="1" customFormat="false" ht="23.25" hidden="false" customHeight="true" outlineLevel="0" collapsed="false">
      <c r="A1" s="16" t="s">
        <v>40</v>
      </c>
      <c r="B1" s="16" t="s">
        <v>210</v>
      </c>
      <c r="C1" s="16" t="s">
        <v>211</v>
      </c>
      <c r="D1" s="16" t="s">
        <v>52</v>
      </c>
      <c r="E1" s="16" t="s">
        <v>57</v>
      </c>
      <c r="F1" s="16" t="s">
        <v>65</v>
      </c>
      <c r="G1" s="16" t="s">
        <v>70</v>
      </c>
      <c r="H1" s="16" t="s">
        <v>84</v>
      </c>
      <c r="I1" s="16" t="s">
        <v>88</v>
      </c>
      <c r="J1" s="16" t="s">
        <v>212</v>
      </c>
      <c r="K1" s="16" t="s">
        <v>95</v>
      </c>
      <c r="L1" s="16" t="s">
        <v>213</v>
      </c>
      <c r="M1" s="16" t="s">
        <v>214</v>
      </c>
      <c r="N1" s="16" t="s">
        <v>215</v>
      </c>
      <c r="O1" s="16" t="s">
        <v>126</v>
      </c>
      <c r="P1" s="16" t="s">
        <v>130</v>
      </c>
      <c r="Q1" s="16" t="s">
        <v>132</v>
      </c>
      <c r="R1" s="16" t="s">
        <v>136</v>
      </c>
      <c r="S1" s="16" t="s">
        <v>140</v>
      </c>
      <c r="T1" s="16" t="s">
        <v>216</v>
      </c>
      <c r="U1" s="16" t="s">
        <v>217</v>
      </c>
      <c r="V1" s="16" t="s">
        <v>218</v>
      </c>
      <c r="W1" s="16" t="s">
        <v>219</v>
      </c>
      <c r="X1" s="16" t="s">
        <v>220</v>
      </c>
      <c r="Y1" s="16" t="s">
        <v>221</v>
      </c>
      <c r="Z1" s="16" t="s">
        <v>222</v>
      </c>
      <c r="AA1" s="16" t="s">
        <v>223</v>
      </c>
      <c r="AB1" s="16" t="s">
        <v>175</v>
      </c>
    </row>
    <row r="2" customFormat="false" ht="15" hidden="false" customHeight="true" outlineLevel="0" collapsed="false">
      <c r="A2" s="17" t="s">
        <v>224</v>
      </c>
      <c r="B2" s="17" t="s">
        <v>225</v>
      </c>
      <c r="C2" s="17" t="s">
        <v>226</v>
      </c>
      <c r="D2" s="17" t="n">
        <v>59</v>
      </c>
      <c r="E2" s="17" t="s">
        <v>227</v>
      </c>
      <c r="F2" s="17" t="s">
        <v>228</v>
      </c>
      <c r="G2" s="17" t="s">
        <v>44</v>
      </c>
      <c r="H2" s="17" t="s">
        <v>229</v>
      </c>
      <c r="I2" s="18" t="n">
        <v>46300.5451388889</v>
      </c>
      <c r="J2" s="18" t="n">
        <v>46300.5618055556</v>
      </c>
      <c r="K2" s="17" t="s">
        <v>44</v>
      </c>
      <c r="L2" s="17" t="s">
        <v>230</v>
      </c>
      <c r="M2" s="17" t="s">
        <v>231</v>
      </c>
      <c r="N2" s="17" t="n">
        <v>39</v>
      </c>
      <c r="O2" s="17"/>
      <c r="P2" s="17"/>
      <c r="Q2" s="17"/>
      <c r="R2" s="17"/>
      <c r="S2" s="17" t="n">
        <v>22.9</v>
      </c>
      <c r="T2" s="19" t="str">
        <f aca="false">IF(AND(ISNUMBER(S2),S2&lt;='Baca Dulu'!$B$14),"Valid","Invalid")</f>
        <v>Valid</v>
      </c>
      <c r="U2" s="19" t="str">
        <f aca="false">IF(T2="Invalid","Invalid",IF(OR(AND(ISNUMBER(O2),O2&lt;'Baca Dulu'!$B$13),AND(ISNUMBER(P2),P2&lt;'Baca Dulu'!$B$13)),"Positif 16/18",IF(OR(AND(ISNUMBER(Q2),Q2&lt;'Baca Dulu'!$B$13),AND(ISNUMBER(R2),R2&lt;'Baca Dulu'!$B$13)),"Positif lain","Negatif")))</f>
        <v>Negatif</v>
      </c>
      <c r="V2" s="17" t="s">
        <v>232</v>
      </c>
      <c r="W2" s="17"/>
      <c r="X2" s="17"/>
      <c r="Y2" s="19" t="str">
        <f aca="false">IF(V2="Dikirim",IF(X2-W2&lt;='Baca Dulu'!$B$15,"Ya","Tidak"),"")</f>
        <v/>
      </c>
      <c r="Z2" s="17"/>
      <c r="AA2" s="17"/>
      <c r="AB2" s="17"/>
    </row>
    <row r="3" customFormat="false" ht="15" hidden="false" customHeight="true" outlineLevel="0" collapsed="false">
      <c r="A3" s="17" t="s">
        <v>233</v>
      </c>
      <c r="B3" s="17" t="s">
        <v>234</v>
      </c>
      <c r="C3" s="17" t="s">
        <v>235</v>
      </c>
      <c r="D3" s="17" t="n">
        <v>36</v>
      </c>
      <c r="E3" s="17" t="s">
        <v>227</v>
      </c>
      <c r="F3" s="17" t="s">
        <v>97</v>
      </c>
      <c r="G3" s="17" t="s">
        <v>97</v>
      </c>
      <c r="H3" s="17" t="s">
        <v>229</v>
      </c>
      <c r="I3" s="18" t="n">
        <v>46303.5847222222</v>
      </c>
      <c r="J3" s="18" t="n">
        <v>46303.5944444445</v>
      </c>
      <c r="K3" s="17" t="s">
        <v>44</v>
      </c>
      <c r="L3" s="17" t="s">
        <v>236</v>
      </c>
      <c r="M3" s="17" t="s">
        <v>237</v>
      </c>
      <c r="N3" s="17" t="n">
        <v>49</v>
      </c>
      <c r="O3" s="17"/>
      <c r="P3" s="17"/>
      <c r="Q3" s="17"/>
      <c r="R3" s="17"/>
      <c r="S3" s="17" t="n">
        <v>28</v>
      </c>
      <c r="T3" s="19" t="str">
        <f aca="false">IF(AND(ISNUMBER(S3),S3&lt;='Baca Dulu'!$B$14),"Valid","Invalid")</f>
        <v>Valid</v>
      </c>
      <c r="U3" s="19" t="str">
        <f aca="false">IF(T3="Invalid","Invalid",IF(OR(AND(ISNUMBER(O3),O3&lt;'Baca Dulu'!$B$13),AND(ISNUMBER(P3),P3&lt;'Baca Dulu'!$B$13)),"Positif 16/18",IF(OR(AND(ISNUMBER(Q3),Q3&lt;'Baca Dulu'!$B$13),AND(ISNUMBER(R3),R3&lt;'Baca Dulu'!$B$13)),"Positif lain","Negatif")))</f>
        <v>Negatif</v>
      </c>
      <c r="V3" s="17" t="s">
        <v>232</v>
      </c>
      <c r="W3" s="17"/>
      <c r="X3" s="17"/>
      <c r="Y3" s="19" t="str">
        <f aca="false">IF(V3="Dikirim",IF(X3-W3&lt;='Baca Dulu'!$B$15,"Ya","Tidak"),"")</f>
        <v/>
      </c>
      <c r="Z3" s="17"/>
      <c r="AA3" s="17"/>
      <c r="AB3" s="17"/>
    </row>
    <row r="4" customFormat="false" ht="15" hidden="false" customHeight="true" outlineLevel="0" collapsed="false">
      <c r="A4" s="17" t="s">
        <v>238</v>
      </c>
      <c r="B4" s="17" t="s">
        <v>239</v>
      </c>
      <c r="C4" s="17" t="s">
        <v>240</v>
      </c>
      <c r="D4" s="17" t="n">
        <v>64</v>
      </c>
      <c r="E4" s="17" t="s">
        <v>241</v>
      </c>
      <c r="F4" s="17" t="s">
        <v>228</v>
      </c>
      <c r="G4" s="17" t="s">
        <v>97</v>
      </c>
      <c r="H4" s="17" t="s">
        <v>229</v>
      </c>
      <c r="I4" s="18" t="n">
        <v>46302.7222222222</v>
      </c>
      <c r="J4" s="18" t="n">
        <v>46302.7354166667</v>
      </c>
      <c r="K4" s="17" t="s">
        <v>44</v>
      </c>
      <c r="L4" s="17" t="s">
        <v>242</v>
      </c>
      <c r="M4" s="17" t="s">
        <v>231</v>
      </c>
      <c r="N4" s="17" t="n">
        <v>39</v>
      </c>
      <c r="O4" s="17"/>
      <c r="P4" s="17"/>
      <c r="Q4" s="17"/>
      <c r="R4" s="17"/>
      <c r="S4" s="17" t="n">
        <v>22.1</v>
      </c>
      <c r="T4" s="19" t="str">
        <f aca="false">IF(AND(ISNUMBER(S4),S4&lt;='Baca Dulu'!$B$14),"Valid","Invalid")</f>
        <v>Valid</v>
      </c>
      <c r="U4" s="19" t="str">
        <f aca="false">IF(T4="Invalid","Invalid",IF(OR(AND(ISNUMBER(O4),O4&lt;'Baca Dulu'!$B$13),AND(ISNUMBER(P4),P4&lt;'Baca Dulu'!$B$13)),"Positif 16/18",IF(OR(AND(ISNUMBER(Q4),Q4&lt;'Baca Dulu'!$B$13),AND(ISNUMBER(R4),R4&lt;'Baca Dulu'!$B$13)),"Positif lain","Negatif")))</f>
        <v>Negatif</v>
      </c>
      <c r="V4" s="17" t="s">
        <v>232</v>
      </c>
      <c r="W4" s="17"/>
      <c r="X4" s="17"/>
      <c r="Y4" s="19" t="str">
        <f aca="false">IF(V4="Dikirim",IF(X4-W4&lt;='Baca Dulu'!$B$15,"Ya","Tidak"),"")</f>
        <v/>
      </c>
      <c r="Z4" s="17"/>
      <c r="AA4" s="17"/>
      <c r="AB4" s="17"/>
    </row>
    <row r="5" customFormat="false" ht="15" hidden="false" customHeight="true" outlineLevel="0" collapsed="false">
      <c r="A5" s="17" t="s">
        <v>243</v>
      </c>
      <c r="B5" s="17" t="s">
        <v>244</v>
      </c>
      <c r="C5" s="17" t="s">
        <v>245</v>
      </c>
      <c r="D5" s="17" t="n">
        <v>49</v>
      </c>
      <c r="E5" s="17" t="s">
        <v>246</v>
      </c>
      <c r="F5" s="17" t="s">
        <v>44</v>
      </c>
      <c r="G5" s="17" t="s">
        <v>97</v>
      </c>
      <c r="H5" s="17" t="s">
        <v>229</v>
      </c>
      <c r="I5" s="18" t="n">
        <v>46309.6305555556</v>
      </c>
      <c r="J5" s="18" t="n">
        <v>46309.6361111111</v>
      </c>
      <c r="K5" s="17" t="s">
        <v>44</v>
      </c>
      <c r="L5" s="17" t="s">
        <v>230</v>
      </c>
      <c r="M5" s="17" t="s">
        <v>237</v>
      </c>
      <c r="N5" s="17" t="n">
        <v>48</v>
      </c>
      <c r="O5" s="17"/>
      <c r="P5" s="17"/>
      <c r="Q5" s="17"/>
      <c r="R5" s="17"/>
      <c r="S5" s="17" t="n">
        <v>25.9</v>
      </c>
      <c r="T5" s="19" t="str">
        <f aca="false">IF(AND(ISNUMBER(S5),S5&lt;='Baca Dulu'!$B$14),"Valid","Invalid")</f>
        <v>Valid</v>
      </c>
      <c r="U5" s="19" t="str">
        <f aca="false">IF(T5="Invalid","Invalid",IF(OR(AND(ISNUMBER(O5),O5&lt;'Baca Dulu'!$B$13),AND(ISNUMBER(P5),P5&lt;'Baca Dulu'!$B$13)),"Positif 16/18",IF(OR(AND(ISNUMBER(Q5),Q5&lt;'Baca Dulu'!$B$13),AND(ISNUMBER(R5),R5&lt;'Baca Dulu'!$B$13)),"Positif lain","Negatif")))</f>
        <v>Negatif</v>
      </c>
      <c r="V5" s="17" t="s">
        <v>232</v>
      </c>
      <c r="W5" s="17"/>
      <c r="X5" s="17"/>
      <c r="Y5" s="19" t="str">
        <f aca="false">IF(V5="Dikirim",IF(X5-W5&lt;='Baca Dulu'!$B$15,"Ya","Tidak"),"")</f>
        <v/>
      </c>
      <c r="Z5" s="17"/>
      <c r="AA5" s="17"/>
      <c r="AB5" s="17"/>
    </row>
    <row r="6" customFormat="false" ht="15" hidden="false" customHeight="true" outlineLevel="0" collapsed="false">
      <c r="A6" s="17" t="s">
        <v>247</v>
      </c>
      <c r="B6" s="17" t="s">
        <v>248</v>
      </c>
      <c r="C6" s="17" t="s">
        <v>249</v>
      </c>
      <c r="D6" s="17" t="n">
        <v>44</v>
      </c>
      <c r="E6" s="17" t="s">
        <v>246</v>
      </c>
      <c r="F6" s="17" t="s">
        <v>44</v>
      </c>
      <c r="G6" s="17" t="s">
        <v>97</v>
      </c>
      <c r="H6" s="17" t="s">
        <v>229</v>
      </c>
      <c r="I6" s="18" t="n">
        <v>46303.5055555556</v>
      </c>
      <c r="J6" s="18" t="n">
        <v>46303.5236111111</v>
      </c>
      <c r="K6" s="17" t="s">
        <v>44</v>
      </c>
      <c r="L6" s="17" t="s">
        <v>250</v>
      </c>
      <c r="M6" s="17" t="s">
        <v>231</v>
      </c>
      <c r="N6" s="17" t="n">
        <v>39</v>
      </c>
      <c r="O6" s="17"/>
      <c r="P6" s="17"/>
      <c r="Q6" s="17"/>
      <c r="R6" s="17"/>
      <c r="S6" s="17" t="n">
        <v>26.1</v>
      </c>
      <c r="T6" s="19" t="str">
        <f aca="false">IF(AND(ISNUMBER(S6),S6&lt;='Baca Dulu'!$B$14),"Valid","Invalid")</f>
        <v>Valid</v>
      </c>
      <c r="U6" s="19" t="str">
        <f aca="false">IF(T6="Invalid","Invalid",IF(OR(AND(ISNUMBER(O6),O6&lt;'Baca Dulu'!$B$13),AND(ISNUMBER(P6),P6&lt;'Baca Dulu'!$B$13)),"Positif 16/18",IF(OR(AND(ISNUMBER(Q6),Q6&lt;'Baca Dulu'!$B$13),AND(ISNUMBER(R6),R6&lt;'Baca Dulu'!$B$13)),"Positif lain","Negatif")))</f>
        <v>Negatif</v>
      </c>
      <c r="V6" s="17" t="s">
        <v>232</v>
      </c>
      <c r="W6" s="17"/>
      <c r="X6" s="17"/>
      <c r="Y6" s="19" t="str">
        <f aca="false">IF(V6="Dikirim",IF(X6-W6&lt;='Baca Dulu'!$B$15,"Ya","Tidak"),"")</f>
        <v/>
      </c>
      <c r="Z6" s="17"/>
      <c r="AA6" s="17"/>
      <c r="AB6" s="17"/>
    </row>
    <row r="7" customFormat="false" ht="15" hidden="false" customHeight="true" outlineLevel="0" collapsed="false">
      <c r="A7" s="17" t="s">
        <v>251</v>
      </c>
      <c r="B7" s="17" t="s">
        <v>252</v>
      </c>
      <c r="C7" s="17" t="s">
        <v>253</v>
      </c>
      <c r="D7" s="17" t="n">
        <v>63</v>
      </c>
      <c r="E7" s="17" t="s">
        <v>241</v>
      </c>
      <c r="F7" s="17" t="s">
        <v>44</v>
      </c>
      <c r="G7" s="17" t="s">
        <v>97</v>
      </c>
      <c r="H7" s="17" t="s">
        <v>229</v>
      </c>
      <c r="I7" s="18" t="n">
        <v>46303.7111111111</v>
      </c>
      <c r="J7" s="18" t="n">
        <v>46303.7354166667</v>
      </c>
      <c r="K7" s="17" t="s">
        <v>44</v>
      </c>
      <c r="L7" s="17" t="s">
        <v>236</v>
      </c>
      <c r="M7" s="17" t="s">
        <v>237</v>
      </c>
      <c r="N7" s="17" t="n">
        <v>46</v>
      </c>
      <c r="O7" s="17"/>
      <c r="P7" s="17"/>
      <c r="Q7" s="17"/>
      <c r="R7" s="17"/>
      <c r="S7" s="17" t="n">
        <v>23</v>
      </c>
      <c r="T7" s="19" t="str">
        <f aca="false">IF(AND(ISNUMBER(S7),S7&lt;='Baca Dulu'!$B$14),"Valid","Invalid")</f>
        <v>Valid</v>
      </c>
      <c r="U7" s="19" t="str">
        <f aca="false">IF(T7="Invalid","Invalid",IF(OR(AND(ISNUMBER(O7),O7&lt;'Baca Dulu'!$B$13),AND(ISNUMBER(P7),P7&lt;'Baca Dulu'!$B$13)),"Positif 16/18",IF(OR(AND(ISNUMBER(Q7),Q7&lt;'Baca Dulu'!$B$13),AND(ISNUMBER(R7),R7&lt;'Baca Dulu'!$B$13)),"Positif lain","Negatif")))</f>
        <v>Negatif</v>
      </c>
      <c r="V7" s="17" t="s">
        <v>232</v>
      </c>
      <c r="W7" s="17"/>
      <c r="X7" s="17"/>
      <c r="Y7" s="19" t="str">
        <f aca="false">IF(V7="Dikirim",IF(X7-W7&lt;='Baca Dulu'!$B$15,"Ya","Tidak"),"")</f>
        <v/>
      </c>
      <c r="Z7" s="17"/>
      <c r="AA7" s="17"/>
      <c r="AB7" s="17"/>
    </row>
    <row r="8" customFormat="false" ht="15" hidden="false" customHeight="true" outlineLevel="0" collapsed="false">
      <c r="A8" s="17" t="s">
        <v>254</v>
      </c>
      <c r="B8" s="17" t="s">
        <v>255</v>
      </c>
      <c r="C8" s="17" t="s">
        <v>256</v>
      </c>
      <c r="D8" s="17" t="n">
        <v>45</v>
      </c>
      <c r="E8" s="17" t="s">
        <v>241</v>
      </c>
      <c r="F8" s="17" t="s">
        <v>44</v>
      </c>
      <c r="G8" s="17" t="s">
        <v>97</v>
      </c>
      <c r="H8" s="17" t="s">
        <v>229</v>
      </c>
      <c r="I8" s="18" t="n">
        <v>46306.3583333333</v>
      </c>
      <c r="J8" s="18" t="n">
        <v>46306.3708333333</v>
      </c>
      <c r="K8" s="17" t="s">
        <v>44</v>
      </c>
      <c r="L8" s="17" t="s">
        <v>242</v>
      </c>
      <c r="M8" s="17" t="s">
        <v>237</v>
      </c>
      <c r="N8" s="17" t="n">
        <v>40</v>
      </c>
      <c r="O8" s="17"/>
      <c r="P8" s="17"/>
      <c r="Q8" s="17"/>
      <c r="R8" s="17"/>
      <c r="S8" s="17" t="n">
        <v>26.1</v>
      </c>
      <c r="T8" s="19" t="str">
        <f aca="false">IF(AND(ISNUMBER(S8),S8&lt;='Baca Dulu'!$B$14),"Valid","Invalid")</f>
        <v>Valid</v>
      </c>
      <c r="U8" s="19" t="str">
        <f aca="false">IF(T8="Invalid","Invalid",IF(OR(AND(ISNUMBER(O8),O8&lt;'Baca Dulu'!$B$13),AND(ISNUMBER(P8),P8&lt;'Baca Dulu'!$B$13)),"Positif 16/18",IF(OR(AND(ISNUMBER(Q8),Q8&lt;'Baca Dulu'!$B$13),AND(ISNUMBER(R8),R8&lt;'Baca Dulu'!$B$13)),"Positif lain","Negatif")))</f>
        <v>Negatif</v>
      </c>
      <c r="V8" s="17" t="s">
        <v>232</v>
      </c>
      <c r="W8" s="17"/>
      <c r="X8" s="17"/>
      <c r="Y8" s="19" t="str">
        <f aca="false">IF(V8="Dikirim",IF(X8-W8&lt;='Baca Dulu'!$B$15,"Ya","Tidak"),"")</f>
        <v/>
      </c>
      <c r="Z8" s="17"/>
      <c r="AA8" s="17"/>
      <c r="AB8" s="17"/>
    </row>
    <row r="9" customFormat="false" ht="15" hidden="false" customHeight="true" outlineLevel="0" collapsed="false">
      <c r="A9" s="17" t="s">
        <v>257</v>
      </c>
      <c r="B9" s="17" t="s">
        <v>258</v>
      </c>
      <c r="C9" s="17" t="s">
        <v>259</v>
      </c>
      <c r="D9" s="17" t="n">
        <v>55</v>
      </c>
      <c r="E9" s="17" t="s">
        <v>260</v>
      </c>
      <c r="F9" s="17" t="s">
        <v>97</v>
      </c>
      <c r="G9" s="17" t="s">
        <v>97</v>
      </c>
      <c r="H9" s="17" t="s">
        <v>229</v>
      </c>
      <c r="I9" s="18" t="n">
        <v>46307.4479166667</v>
      </c>
      <c r="J9" s="18" t="n">
        <v>46307.4715277778</v>
      </c>
      <c r="K9" s="17" t="s">
        <v>44</v>
      </c>
      <c r="L9" s="17" t="s">
        <v>250</v>
      </c>
      <c r="M9" s="17" t="s">
        <v>237</v>
      </c>
      <c r="N9" s="17" t="n">
        <v>51</v>
      </c>
      <c r="O9" s="17"/>
      <c r="P9" s="17"/>
      <c r="Q9" s="17" t="n">
        <v>35.8</v>
      </c>
      <c r="R9" s="17"/>
      <c r="S9" s="17" t="n">
        <v>26.3</v>
      </c>
      <c r="T9" s="19" t="str">
        <f aca="false">IF(AND(ISNUMBER(S9),S9&lt;='Baca Dulu'!$B$14),"Valid","Invalid")</f>
        <v>Valid</v>
      </c>
      <c r="U9" s="19" t="str">
        <f aca="false">IF(T9="Invalid","Invalid",IF(OR(AND(ISNUMBER(O9),O9&lt;'Baca Dulu'!$B$13),AND(ISNUMBER(P9),P9&lt;'Baca Dulu'!$B$13)),"Positif 16/18",IF(OR(AND(ISNUMBER(Q9),Q9&lt;'Baca Dulu'!$B$13),AND(ISNUMBER(R9),R9&lt;'Baca Dulu'!$B$13)),"Positif lain","Negatif")))</f>
        <v>Positif lain</v>
      </c>
      <c r="V9" s="17" t="s">
        <v>261</v>
      </c>
      <c r="W9" s="20" t="n">
        <v>46307</v>
      </c>
      <c r="X9" s="20" t="n">
        <v>46309</v>
      </c>
      <c r="Y9" s="19" t="str">
        <f aca="false">IF(V9="Dikirim",IF(X9-W9&lt;='Baca Dulu'!$B$15,"Ya","Tidak"),"")</f>
        <v>Ya</v>
      </c>
      <c r="Z9" s="17" t="s">
        <v>262</v>
      </c>
      <c r="AA9" s="17" t="s">
        <v>263</v>
      </c>
      <c r="AB9" s="17" t="s">
        <v>264</v>
      </c>
    </row>
    <row r="10" customFormat="false" ht="15" hidden="false" customHeight="true" outlineLevel="0" collapsed="false">
      <c r="A10" s="17" t="s">
        <v>265</v>
      </c>
      <c r="B10" s="17" t="s">
        <v>266</v>
      </c>
      <c r="C10" s="17" t="s">
        <v>267</v>
      </c>
      <c r="D10" s="17" t="n">
        <v>38</v>
      </c>
      <c r="E10" s="17" t="s">
        <v>241</v>
      </c>
      <c r="F10" s="17" t="s">
        <v>97</v>
      </c>
      <c r="G10" s="17" t="s">
        <v>97</v>
      </c>
      <c r="H10" s="17" t="s">
        <v>229</v>
      </c>
      <c r="I10" s="18" t="n">
        <v>46306.5201388889</v>
      </c>
      <c r="J10" s="18" t="n">
        <v>46306.5416666667</v>
      </c>
      <c r="K10" s="17" t="s">
        <v>44</v>
      </c>
      <c r="L10" s="17" t="s">
        <v>250</v>
      </c>
      <c r="M10" s="17" t="s">
        <v>231</v>
      </c>
      <c r="N10" s="17" t="n">
        <v>47</v>
      </c>
      <c r="O10" s="17"/>
      <c r="P10" s="17"/>
      <c r="Q10" s="17"/>
      <c r="R10" s="17"/>
      <c r="S10" s="17" t="n">
        <v>29.4</v>
      </c>
      <c r="T10" s="19" t="str">
        <f aca="false">IF(AND(ISNUMBER(S10),S10&lt;='Baca Dulu'!$B$14),"Valid","Invalid")</f>
        <v>Valid</v>
      </c>
      <c r="U10" s="19" t="str">
        <f aca="false">IF(T10="Invalid","Invalid",IF(OR(AND(ISNUMBER(O10),O10&lt;'Baca Dulu'!$B$13),AND(ISNUMBER(P10),P10&lt;'Baca Dulu'!$B$13)),"Positif 16/18",IF(OR(AND(ISNUMBER(Q10),Q10&lt;'Baca Dulu'!$B$13),AND(ISNUMBER(R10),R10&lt;'Baca Dulu'!$B$13)),"Positif lain","Negatif")))</f>
        <v>Negatif</v>
      </c>
      <c r="V10" s="17" t="s">
        <v>232</v>
      </c>
      <c r="W10" s="17"/>
      <c r="X10" s="17"/>
      <c r="Y10" s="19" t="str">
        <f aca="false">IF(V10="Dikirim",IF(X10-W10&lt;='Baca Dulu'!$B$15,"Ya","Tidak"),"")</f>
        <v/>
      </c>
      <c r="Z10" s="17"/>
      <c r="AA10" s="17"/>
      <c r="AB10" s="17"/>
    </row>
    <row r="11" customFormat="false" ht="15" hidden="false" customHeight="true" outlineLevel="0" collapsed="false">
      <c r="A11" s="17" t="s">
        <v>268</v>
      </c>
      <c r="B11" s="17" t="s">
        <v>269</v>
      </c>
      <c r="C11" s="17" t="s">
        <v>270</v>
      </c>
      <c r="D11" s="17" t="n">
        <v>34</v>
      </c>
      <c r="E11" s="17" t="s">
        <v>246</v>
      </c>
      <c r="F11" s="17" t="s">
        <v>228</v>
      </c>
      <c r="G11" s="17" t="s">
        <v>44</v>
      </c>
      <c r="H11" s="17" t="s">
        <v>229</v>
      </c>
      <c r="I11" s="18" t="n">
        <v>46307.7229166667</v>
      </c>
      <c r="J11" s="18" t="n">
        <v>46307.7361111111</v>
      </c>
      <c r="K11" s="17" t="s">
        <v>44</v>
      </c>
      <c r="L11" s="17" t="s">
        <v>250</v>
      </c>
      <c r="M11" s="17" t="s">
        <v>237</v>
      </c>
      <c r="N11" s="17" t="n">
        <v>48</v>
      </c>
      <c r="O11" s="17"/>
      <c r="P11" s="17"/>
      <c r="Q11" s="17"/>
      <c r="R11" s="17"/>
      <c r="S11" s="17" t="n">
        <v>29.6</v>
      </c>
      <c r="T11" s="19" t="str">
        <f aca="false">IF(AND(ISNUMBER(S11),S11&lt;='Baca Dulu'!$B$14),"Valid","Invalid")</f>
        <v>Valid</v>
      </c>
      <c r="U11" s="19" t="str">
        <f aca="false">IF(T11="Invalid","Invalid",IF(OR(AND(ISNUMBER(O11),O11&lt;'Baca Dulu'!$B$13),AND(ISNUMBER(P11),P11&lt;'Baca Dulu'!$B$13)),"Positif 16/18",IF(OR(AND(ISNUMBER(Q11),Q11&lt;'Baca Dulu'!$B$13),AND(ISNUMBER(R11),R11&lt;'Baca Dulu'!$B$13)),"Positif lain","Negatif")))</f>
        <v>Negatif</v>
      </c>
      <c r="V11" s="17" t="s">
        <v>232</v>
      </c>
      <c r="W11" s="17"/>
      <c r="X11" s="17"/>
      <c r="Y11" s="19" t="str">
        <f aca="false">IF(V11="Dikirim",IF(X11-W11&lt;='Baca Dulu'!$B$15,"Ya","Tidak"),"")</f>
        <v/>
      </c>
      <c r="Z11" s="17"/>
      <c r="AA11" s="17"/>
      <c r="AB11" s="17"/>
    </row>
    <row r="12" customFormat="false" ht="15" hidden="false" customHeight="true" outlineLevel="0" collapsed="false">
      <c r="A12" s="17" t="s">
        <v>271</v>
      </c>
      <c r="B12" s="17" t="s">
        <v>272</v>
      </c>
      <c r="C12" s="17" t="s">
        <v>273</v>
      </c>
      <c r="D12" s="17" t="n">
        <v>35</v>
      </c>
      <c r="E12" s="17" t="s">
        <v>260</v>
      </c>
      <c r="F12" s="17" t="s">
        <v>44</v>
      </c>
      <c r="G12" s="17" t="s">
        <v>97</v>
      </c>
      <c r="H12" s="17" t="s">
        <v>229</v>
      </c>
      <c r="I12" s="18" t="n">
        <v>46301.6868055556</v>
      </c>
      <c r="J12" s="18" t="n">
        <v>46301.6923611111</v>
      </c>
      <c r="K12" s="17" t="s">
        <v>44</v>
      </c>
      <c r="L12" s="17" t="s">
        <v>230</v>
      </c>
      <c r="M12" s="17" t="s">
        <v>231</v>
      </c>
      <c r="N12" s="17" t="n">
        <v>40</v>
      </c>
      <c r="O12" s="17"/>
      <c r="P12" s="17"/>
      <c r="Q12" s="17" t="n">
        <v>27.2</v>
      </c>
      <c r="R12" s="17"/>
      <c r="S12" s="17" t="n">
        <v>24.1</v>
      </c>
      <c r="T12" s="19" t="str">
        <f aca="false">IF(AND(ISNUMBER(S12),S12&lt;='Baca Dulu'!$B$14),"Valid","Invalid")</f>
        <v>Valid</v>
      </c>
      <c r="U12" s="19" t="str">
        <f aca="false">IF(T12="Invalid","Invalid",IF(OR(AND(ISNUMBER(O12),O12&lt;'Baca Dulu'!$B$13),AND(ISNUMBER(P12),P12&lt;'Baca Dulu'!$B$13)),"Positif 16/18",IF(OR(AND(ISNUMBER(Q12),Q12&lt;'Baca Dulu'!$B$13),AND(ISNUMBER(R12),R12&lt;'Baca Dulu'!$B$13)),"Positif lain","Negatif")))</f>
        <v>Positif lain</v>
      </c>
      <c r="V12" s="17" t="s">
        <v>261</v>
      </c>
      <c r="W12" s="20" t="n">
        <v>46301</v>
      </c>
      <c r="X12" s="20" t="n">
        <v>46304</v>
      </c>
      <c r="Y12" s="19" t="str">
        <f aca="false">IF(V12="Dikirim",IF(X12-W12&lt;='Baca Dulu'!$B$15,"Ya","Tidak"),"")</f>
        <v>Ya</v>
      </c>
      <c r="Z12" s="17" t="s">
        <v>274</v>
      </c>
      <c r="AA12" s="17" t="s">
        <v>263</v>
      </c>
      <c r="AB12" s="17" t="s">
        <v>264</v>
      </c>
    </row>
    <row r="13" customFormat="false" ht="15" hidden="false" customHeight="true" outlineLevel="0" collapsed="false">
      <c r="A13" s="17" t="s">
        <v>275</v>
      </c>
      <c r="B13" s="17" t="s">
        <v>276</v>
      </c>
      <c r="C13" s="17" t="s">
        <v>277</v>
      </c>
      <c r="D13" s="17" t="n">
        <v>59</v>
      </c>
      <c r="E13" s="17" t="s">
        <v>241</v>
      </c>
      <c r="F13" s="17" t="s">
        <v>97</v>
      </c>
      <c r="G13" s="17" t="s">
        <v>44</v>
      </c>
      <c r="H13" s="17" t="s">
        <v>229</v>
      </c>
      <c r="I13" s="18" t="n">
        <v>46305.6402777778</v>
      </c>
      <c r="J13" s="18" t="n">
        <v>46305.6541666667</v>
      </c>
      <c r="K13" s="17" t="s">
        <v>44</v>
      </c>
      <c r="L13" s="17" t="s">
        <v>242</v>
      </c>
      <c r="M13" s="17" t="s">
        <v>231</v>
      </c>
      <c r="N13" s="17" t="n">
        <v>50</v>
      </c>
      <c r="O13" s="17"/>
      <c r="P13" s="17"/>
      <c r="Q13" s="17"/>
      <c r="R13" s="17"/>
      <c r="S13" s="17" t="n">
        <v>23</v>
      </c>
      <c r="T13" s="19" t="str">
        <f aca="false">IF(AND(ISNUMBER(S13),S13&lt;='Baca Dulu'!$B$14),"Valid","Invalid")</f>
        <v>Valid</v>
      </c>
      <c r="U13" s="19" t="str">
        <f aca="false">IF(T13="Invalid","Invalid",IF(OR(AND(ISNUMBER(O13),O13&lt;'Baca Dulu'!$B$13),AND(ISNUMBER(P13),P13&lt;'Baca Dulu'!$B$13)),"Positif 16/18",IF(OR(AND(ISNUMBER(Q13),Q13&lt;'Baca Dulu'!$B$13),AND(ISNUMBER(R13),R13&lt;'Baca Dulu'!$B$13)),"Positif lain","Negatif")))</f>
        <v>Negatif</v>
      </c>
      <c r="V13" s="17" t="s">
        <v>232</v>
      </c>
      <c r="W13" s="17"/>
      <c r="X13" s="17"/>
      <c r="Y13" s="19" t="str">
        <f aca="false">IF(V13="Dikirim",IF(X13-W13&lt;='Baca Dulu'!$B$15,"Ya","Tidak"),"")</f>
        <v/>
      </c>
      <c r="Z13" s="17"/>
      <c r="AA13" s="17"/>
      <c r="AB13" s="17"/>
    </row>
    <row r="14" customFormat="false" ht="15" hidden="false" customHeight="true" outlineLevel="0" collapsed="false">
      <c r="A14" s="17" t="s">
        <v>278</v>
      </c>
      <c r="B14" s="17" t="s">
        <v>279</v>
      </c>
      <c r="C14" s="17" t="s">
        <v>280</v>
      </c>
      <c r="D14" s="17" t="n">
        <v>61</v>
      </c>
      <c r="E14" s="17" t="s">
        <v>241</v>
      </c>
      <c r="F14" s="17" t="s">
        <v>97</v>
      </c>
      <c r="G14" s="17" t="s">
        <v>97</v>
      </c>
      <c r="H14" s="17" t="s">
        <v>229</v>
      </c>
      <c r="I14" s="18" t="n">
        <v>46309.5972222222</v>
      </c>
      <c r="J14" s="18" t="n">
        <v>46309.6006944445</v>
      </c>
      <c r="K14" s="17" t="s">
        <v>44</v>
      </c>
      <c r="L14" s="17" t="s">
        <v>236</v>
      </c>
      <c r="M14" s="17" t="s">
        <v>237</v>
      </c>
      <c r="N14" s="17" t="n">
        <v>48</v>
      </c>
      <c r="O14" s="17"/>
      <c r="P14" s="17"/>
      <c r="Q14" s="17"/>
      <c r="R14" s="17"/>
      <c r="S14" s="17" t="n">
        <v>28</v>
      </c>
      <c r="T14" s="19" t="str">
        <f aca="false">IF(AND(ISNUMBER(S14),S14&lt;='Baca Dulu'!$B$14),"Valid","Invalid")</f>
        <v>Valid</v>
      </c>
      <c r="U14" s="19" t="str">
        <f aca="false">IF(T14="Invalid","Invalid",IF(OR(AND(ISNUMBER(O14),O14&lt;'Baca Dulu'!$B$13),AND(ISNUMBER(P14),P14&lt;'Baca Dulu'!$B$13)),"Positif 16/18",IF(OR(AND(ISNUMBER(Q14),Q14&lt;'Baca Dulu'!$B$13),AND(ISNUMBER(R14),R14&lt;'Baca Dulu'!$B$13)),"Positif lain","Negatif")))</f>
        <v>Negatif</v>
      </c>
      <c r="V14" s="17" t="s">
        <v>232</v>
      </c>
      <c r="W14" s="17"/>
      <c r="X14" s="17"/>
      <c r="Y14" s="19" t="str">
        <f aca="false">IF(V14="Dikirim",IF(X14-W14&lt;='Baca Dulu'!$B$15,"Ya","Tidak"),"")</f>
        <v/>
      </c>
      <c r="Z14" s="17"/>
      <c r="AA14" s="17"/>
      <c r="AB14" s="17"/>
    </row>
    <row r="15" customFormat="false" ht="15" hidden="false" customHeight="true" outlineLevel="0" collapsed="false">
      <c r="A15" s="17" t="s">
        <v>281</v>
      </c>
      <c r="B15" s="17" t="s">
        <v>282</v>
      </c>
      <c r="C15" s="17" t="s">
        <v>283</v>
      </c>
      <c r="D15" s="17" t="n">
        <v>40</v>
      </c>
      <c r="E15" s="17" t="s">
        <v>246</v>
      </c>
      <c r="F15" s="17" t="s">
        <v>97</v>
      </c>
      <c r="G15" s="17" t="s">
        <v>97</v>
      </c>
      <c r="H15" s="17" t="s">
        <v>229</v>
      </c>
      <c r="I15" s="18" t="n">
        <v>46309.4243055556</v>
      </c>
      <c r="J15" s="18" t="n">
        <v>46309.4340277778</v>
      </c>
      <c r="K15" s="17" t="s">
        <v>44</v>
      </c>
      <c r="L15" s="17" t="s">
        <v>242</v>
      </c>
      <c r="M15" s="17" t="s">
        <v>231</v>
      </c>
      <c r="N15" s="17" t="n">
        <v>39</v>
      </c>
      <c r="O15" s="17"/>
      <c r="P15" s="17"/>
      <c r="Q15" s="17" t="n">
        <v>25.7</v>
      </c>
      <c r="R15" s="17"/>
      <c r="S15" s="17" t="n">
        <v>24.2</v>
      </c>
      <c r="T15" s="19" t="str">
        <f aca="false">IF(AND(ISNUMBER(S15),S15&lt;='Baca Dulu'!$B$14),"Valid","Invalid")</f>
        <v>Valid</v>
      </c>
      <c r="U15" s="19" t="str">
        <f aca="false">IF(T15="Invalid","Invalid",IF(OR(AND(ISNUMBER(O15),O15&lt;'Baca Dulu'!$B$13),AND(ISNUMBER(P15),P15&lt;'Baca Dulu'!$B$13)),"Positif 16/18",IF(OR(AND(ISNUMBER(Q15),Q15&lt;'Baca Dulu'!$B$13),AND(ISNUMBER(R15),R15&lt;'Baca Dulu'!$B$13)),"Positif lain","Negatif")))</f>
        <v>Positif lain</v>
      </c>
      <c r="V15" s="17" t="s">
        <v>261</v>
      </c>
      <c r="W15" s="20" t="n">
        <v>46309</v>
      </c>
      <c r="X15" s="20" t="n">
        <v>46313</v>
      </c>
      <c r="Y15" s="19" t="str">
        <f aca="false">IF(V15="Dikirim",IF(X15-W15&lt;='Baca Dulu'!$B$15,"Ya","Tidak"),"")</f>
        <v>Ya</v>
      </c>
      <c r="Z15" s="17" t="s">
        <v>262</v>
      </c>
      <c r="AA15" s="17" t="s">
        <v>284</v>
      </c>
      <c r="AB15" s="17" t="s">
        <v>264</v>
      </c>
    </row>
    <row r="16" customFormat="false" ht="15" hidden="false" customHeight="true" outlineLevel="0" collapsed="false">
      <c r="A16" s="17" t="s">
        <v>285</v>
      </c>
      <c r="B16" s="17" t="s">
        <v>286</v>
      </c>
      <c r="C16" s="17" t="s">
        <v>287</v>
      </c>
      <c r="D16" s="17" t="n">
        <v>42</v>
      </c>
      <c r="E16" s="17" t="s">
        <v>241</v>
      </c>
      <c r="F16" s="17" t="s">
        <v>97</v>
      </c>
      <c r="G16" s="17" t="s">
        <v>97</v>
      </c>
      <c r="H16" s="17" t="s">
        <v>229</v>
      </c>
      <c r="I16" s="18" t="n">
        <v>46301.73125</v>
      </c>
      <c r="J16" s="18" t="n">
        <v>46301.7527777778</v>
      </c>
      <c r="K16" s="17" t="s">
        <v>44</v>
      </c>
      <c r="L16" s="17" t="s">
        <v>242</v>
      </c>
      <c r="M16" s="17" t="s">
        <v>237</v>
      </c>
      <c r="N16" s="17" t="n">
        <v>51</v>
      </c>
      <c r="O16" s="17"/>
      <c r="P16" s="17"/>
      <c r="Q16" s="17"/>
      <c r="R16" s="17"/>
      <c r="S16" s="17" t="n">
        <v>25.4</v>
      </c>
      <c r="T16" s="19" t="str">
        <f aca="false">IF(AND(ISNUMBER(S16),S16&lt;='Baca Dulu'!$B$14),"Valid","Invalid")</f>
        <v>Valid</v>
      </c>
      <c r="U16" s="19" t="str">
        <f aca="false">IF(T16="Invalid","Invalid",IF(OR(AND(ISNUMBER(O16),O16&lt;'Baca Dulu'!$B$13),AND(ISNUMBER(P16),P16&lt;'Baca Dulu'!$B$13)),"Positif 16/18",IF(OR(AND(ISNUMBER(Q16),Q16&lt;'Baca Dulu'!$B$13),AND(ISNUMBER(R16),R16&lt;'Baca Dulu'!$B$13)),"Positif lain","Negatif")))</f>
        <v>Negatif</v>
      </c>
      <c r="V16" s="17" t="s">
        <v>232</v>
      </c>
      <c r="W16" s="17"/>
      <c r="X16" s="17"/>
      <c r="Y16" s="19" t="str">
        <f aca="false">IF(V16="Dikirim",IF(X16-W16&lt;='Baca Dulu'!$B$15,"Ya","Tidak"),"")</f>
        <v/>
      </c>
      <c r="Z16" s="17"/>
      <c r="AA16" s="17"/>
      <c r="AB16" s="17"/>
    </row>
    <row r="17" customFormat="false" ht="15" hidden="false" customHeight="true" outlineLevel="0" collapsed="false">
      <c r="A17" s="17" t="s">
        <v>288</v>
      </c>
      <c r="B17" s="17" t="s">
        <v>289</v>
      </c>
      <c r="C17" s="17" t="s">
        <v>290</v>
      </c>
      <c r="D17" s="17" t="n">
        <v>57</v>
      </c>
      <c r="E17" s="17" t="s">
        <v>260</v>
      </c>
      <c r="F17" s="17" t="s">
        <v>97</v>
      </c>
      <c r="G17" s="17" t="s">
        <v>97</v>
      </c>
      <c r="H17" s="17" t="s">
        <v>229</v>
      </c>
      <c r="I17" s="18" t="n">
        <v>46300.8027777778</v>
      </c>
      <c r="J17" s="18" t="n">
        <v>46300.81875</v>
      </c>
      <c r="K17" s="17" t="s">
        <v>44</v>
      </c>
      <c r="L17" s="17" t="s">
        <v>250</v>
      </c>
      <c r="M17" s="17" t="s">
        <v>231</v>
      </c>
      <c r="N17" s="17" t="n">
        <v>46</v>
      </c>
      <c r="O17" s="17"/>
      <c r="P17" s="17" t="n">
        <v>28.6</v>
      </c>
      <c r="Q17" s="17"/>
      <c r="R17" s="17"/>
      <c r="S17" s="17" t="n">
        <v>28.3</v>
      </c>
      <c r="T17" s="19" t="str">
        <f aca="false">IF(AND(ISNUMBER(S17),S17&lt;='Baca Dulu'!$B$14),"Valid","Invalid")</f>
        <v>Valid</v>
      </c>
      <c r="U17" s="19" t="str">
        <f aca="false">IF(T17="Invalid","Invalid",IF(OR(AND(ISNUMBER(O17),O17&lt;'Baca Dulu'!$B$13),AND(ISNUMBER(P17),P17&lt;'Baca Dulu'!$B$13)),"Positif 16/18",IF(OR(AND(ISNUMBER(Q17),Q17&lt;'Baca Dulu'!$B$13),AND(ISNUMBER(R17),R17&lt;'Baca Dulu'!$B$13)),"Positif lain","Negatif")))</f>
        <v>Positif 16/18</v>
      </c>
      <c r="V17" s="17" t="s">
        <v>261</v>
      </c>
      <c r="W17" s="20" t="n">
        <v>46300</v>
      </c>
      <c r="X17" s="20" t="n">
        <v>46309</v>
      </c>
      <c r="Y17" s="19" t="str">
        <f aca="false">IF(V17="Dikirim",IF(X17-W17&lt;='Baca Dulu'!$B$15,"Ya","Tidak"),"")</f>
        <v>Tidak</v>
      </c>
      <c r="Z17" s="17" t="s">
        <v>291</v>
      </c>
      <c r="AA17" s="17" t="s">
        <v>284</v>
      </c>
      <c r="AB17" s="17" t="s">
        <v>264</v>
      </c>
    </row>
    <row r="18" customFormat="false" ht="15" hidden="false" customHeight="true" outlineLevel="0" collapsed="false">
      <c r="A18" s="17" t="s">
        <v>292</v>
      </c>
      <c r="B18" s="17" t="s">
        <v>293</v>
      </c>
      <c r="C18" s="17" t="s">
        <v>294</v>
      </c>
      <c r="D18" s="17" t="n">
        <v>58</v>
      </c>
      <c r="E18" s="17" t="s">
        <v>260</v>
      </c>
      <c r="F18" s="17" t="s">
        <v>228</v>
      </c>
      <c r="G18" s="17" t="s">
        <v>97</v>
      </c>
      <c r="H18" s="17" t="s">
        <v>229</v>
      </c>
      <c r="I18" s="18" t="n">
        <v>46308.775</v>
      </c>
      <c r="J18" s="18" t="n">
        <v>46308.7895833333</v>
      </c>
      <c r="K18" s="17" t="s">
        <v>44</v>
      </c>
      <c r="L18" s="17" t="s">
        <v>242</v>
      </c>
      <c r="M18" s="17" t="s">
        <v>231</v>
      </c>
      <c r="N18" s="17" t="n">
        <v>40</v>
      </c>
      <c r="O18" s="17"/>
      <c r="P18" s="17"/>
      <c r="Q18" s="17"/>
      <c r="R18" s="17"/>
      <c r="S18" s="17" t="n">
        <v>28.5</v>
      </c>
      <c r="T18" s="19" t="str">
        <f aca="false">IF(AND(ISNUMBER(S18),S18&lt;='Baca Dulu'!$B$14),"Valid","Invalid")</f>
        <v>Valid</v>
      </c>
      <c r="U18" s="19" t="str">
        <f aca="false">IF(T18="Invalid","Invalid",IF(OR(AND(ISNUMBER(O18),O18&lt;'Baca Dulu'!$B$13),AND(ISNUMBER(P18),P18&lt;'Baca Dulu'!$B$13)),"Positif 16/18",IF(OR(AND(ISNUMBER(Q18),Q18&lt;'Baca Dulu'!$B$13),AND(ISNUMBER(R18),R18&lt;'Baca Dulu'!$B$13)),"Positif lain","Negatif")))</f>
        <v>Negatif</v>
      </c>
      <c r="V18" s="17" t="s">
        <v>232</v>
      </c>
      <c r="W18" s="17"/>
      <c r="X18" s="17"/>
      <c r="Y18" s="19" t="str">
        <f aca="false">IF(V18="Dikirim",IF(X18-W18&lt;='Baca Dulu'!$B$15,"Ya","Tidak"),"")</f>
        <v/>
      </c>
      <c r="Z18" s="17"/>
      <c r="AA18" s="17"/>
      <c r="AB18" s="17"/>
    </row>
    <row r="19" customFormat="false" ht="15" hidden="false" customHeight="true" outlineLevel="0" collapsed="false">
      <c r="A19" s="17" t="s">
        <v>295</v>
      </c>
      <c r="B19" s="17" t="s">
        <v>296</v>
      </c>
      <c r="C19" s="17" t="s">
        <v>297</v>
      </c>
      <c r="D19" s="17" t="n">
        <v>45</v>
      </c>
      <c r="E19" s="17" t="s">
        <v>241</v>
      </c>
      <c r="F19" s="17" t="s">
        <v>97</v>
      </c>
      <c r="G19" s="17" t="s">
        <v>97</v>
      </c>
      <c r="H19" s="17" t="s">
        <v>229</v>
      </c>
      <c r="I19" s="18" t="n">
        <v>46300.825</v>
      </c>
      <c r="J19" s="18" t="n">
        <v>46300.8451388889</v>
      </c>
      <c r="K19" s="17" t="s">
        <v>44</v>
      </c>
      <c r="L19" s="17" t="s">
        <v>242</v>
      </c>
      <c r="M19" s="17" t="s">
        <v>231</v>
      </c>
      <c r="N19" s="17" t="n">
        <v>44</v>
      </c>
      <c r="O19" s="17"/>
      <c r="P19" s="17"/>
      <c r="Q19" s="17"/>
      <c r="R19" s="17"/>
      <c r="S19" s="17" t="n">
        <v>22.7</v>
      </c>
      <c r="T19" s="19" t="str">
        <f aca="false">IF(AND(ISNUMBER(S19),S19&lt;='Baca Dulu'!$B$14),"Valid","Invalid")</f>
        <v>Valid</v>
      </c>
      <c r="U19" s="19" t="str">
        <f aca="false">IF(T19="Invalid","Invalid",IF(OR(AND(ISNUMBER(O19),O19&lt;'Baca Dulu'!$B$13),AND(ISNUMBER(P19),P19&lt;'Baca Dulu'!$B$13)),"Positif 16/18",IF(OR(AND(ISNUMBER(Q19),Q19&lt;'Baca Dulu'!$B$13),AND(ISNUMBER(R19),R19&lt;'Baca Dulu'!$B$13)),"Positif lain","Negatif")))</f>
        <v>Negatif</v>
      </c>
      <c r="V19" s="17" t="s">
        <v>232</v>
      </c>
      <c r="W19" s="17"/>
      <c r="X19" s="17"/>
      <c r="Y19" s="19" t="str">
        <f aca="false">IF(V19="Dikirim",IF(X19-W19&lt;='Baca Dulu'!$B$15,"Ya","Tidak"),"")</f>
        <v/>
      </c>
      <c r="Z19" s="17"/>
      <c r="AA19" s="17"/>
      <c r="AB19" s="17"/>
    </row>
    <row r="20" customFormat="false" ht="15" hidden="false" customHeight="true" outlineLevel="0" collapsed="false">
      <c r="A20" s="17" t="s">
        <v>298</v>
      </c>
      <c r="B20" s="17" t="s">
        <v>299</v>
      </c>
      <c r="C20" s="17" t="s">
        <v>300</v>
      </c>
      <c r="D20" s="17" t="n">
        <v>60</v>
      </c>
      <c r="E20" s="17" t="s">
        <v>241</v>
      </c>
      <c r="F20" s="17" t="s">
        <v>97</v>
      </c>
      <c r="G20" s="17" t="s">
        <v>97</v>
      </c>
      <c r="H20" s="17" t="s">
        <v>229</v>
      </c>
      <c r="I20" s="18" t="n">
        <v>46305.7541666667</v>
      </c>
      <c r="J20" s="18" t="n">
        <v>46305.7791666667</v>
      </c>
      <c r="K20" s="17" t="s">
        <v>44</v>
      </c>
      <c r="L20" s="17" t="s">
        <v>250</v>
      </c>
      <c r="M20" s="17" t="s">
        <v>231</v>
      </c>
      <c r="N20" s="17" t="n">
        <v>40</v>
      </c>
      <c r="O20" s="17"/>
      <c r="P20" s="17"/>
      <c r="Q20" s="17"/>
      <c r="R20" s="17" t="n">
        <v>27.9</v>
      </c>
      <c r="S20" s="17" t="n">
        <v>24.6</v>
      </c>
      <c r="T20" s="19" t="str">
        <f aca="false">IF(AND(ISNUMBER(S20),S20&lt;='Baca Dulu'!$B$14),"Valid","Invalid")</f>
        <v>Valid</v>
      </c>
      <c r="U20" s="19" t="str">
        <f aca="false">IF(T20="Invalid","Invalid",IF(OR(AND(ISNUMBER(O20),O20&lt;'Baca Dulu'!$B$13),AND(ISNUMBER(P20),P20&lt;'Baca Dulu'!$B$13)),"Positif 16/18",IF(OR(AND(ISNUMBER(Q20),Q20&lt;'Baca Dulu'!$B$13),AND(ISNUMBER(R20),R20&lt;'Baca Dulu'!$B$13)),"Positif lain","Negatif")))</f>
        <v>Positif lain</v>
      </c>
      <c r="V20" s="17" t="s">
        <v>261</v>
      </c>
      <c r="W20" s="20" t="n">
        <v>46306</v>
      </c>
      <c r="X20" s="20" t="n">
        <v>46309</v>
      </c>
      <c r="Y20" s="19" t="str">
        <f aca="false">IF(V20="Dikirim",IF(X20-W20&lt;='Baca Dulu'!$B$15,"Ya","Tidak"),"")</f>
        <v>Ya</v>
      </c>
      <c r="Z20" s="17" t="s">
        <v>301</v>
      </c>
      <c r="AA20" s="17" t="s">
        <v>263</v>
      </c>
      <c r="AB20" s="17" t="s">
        <v>264</v>
      </c>
    </row>
    <row r="21" customFormat="false" ht="15" hidden="false" customHeight="true" outlineLevel="0" collapsed="false">
      <c r="A21" s="17" t="s">
        <v>302</v>
      </c>
      <c r="B21" s="17" t="s">
        <v>303</v>
      </c>
      <c r="C21" s="17" t="s">
        <v>304</v>
      </c>
      <c r="D21" s="17" t="n">
        <v>55</v>
      </c>
      <c r="E21" s="17" t="s">
        <v>260</v>
      </c>
      <c r="F21" s="17" t="s">
        <v>97</v>
      </c>
      <c r="G21" s="17" t="s">
        <v>97</v>
      </c>
      <c r="H21" s="17" t="s">
        <v>229</v>
      </c>
      <c r="I21" s="18" t="n">
        <v>46305.5229166667</v>
      </c>
      <c r="J21" s="18" t="n">
        <v>46305.5472222222</v>
      </c>
      <c r="K21" s="17" t="s">
        <v>44</v>
      </c>
      <c r="L21" s="17" t="s">
        <v>242</v>
      </c>
      <c r="M21" s="17" t="s">
        <v>231</v>
      </c>
      <c r="N21" s="17" t="n">
        <v>40</v>
      </c>
      <c r="O21" s="17"/>
      <c r="P21" s="17"/>
      <c r="Q21" s="17"/>
      <c r="R21" s="17"/>
      <c r="S21" s="17" t="n">
        <v>25.9</v>
      </c>
      <c r="T21" s="19" t="str">
        <f aca="false">IF(AND(ISNUMBER(S21),S21&lt;='Baca Dulu'!$B$14),"Valid","Invalid")</f>
        <v>Valid</v>
      </c>
      <c r="U21" s="19" t="str">
        <f aca="false">IF(T21="Invalid","Invalid",IF(OR(AND(ISNUMBER(O21),O21&lt;'Baca Dulu'!$B$13),AND(ISNUMBER(P21),P21&lt;'Baca Dulu'!$B$13)),"Positif 16/18",IF(OR(AND(ISNUMBER(Q21),Q21&lt;'Baca Dulu'!$B$13),AND(ISNUMBER(R21),R21&lt;'Baca Dulu'!$B$13)),"Positif lain","Negatif")))</f>
        <v>Negatif</v>
      </c>
      <c r="V21" s="17" t="s">
        <v>232</v>
      </c>
      <c r="W21" s="17"/>
      <c r="X21" s="17"/>
      <c r="Y21" s="19" t="str">
        <f aca="false">IF(V21="Dikirim",IF(X21-W21&lt;='Baca Dulu'!$B$15,"Ya","Tidak"),"")</f>
        <v/>
      </c>
      <c r="Z21" s="17"/>
      <c r="AA21" s="17"/>
      <c r="AB21" s="17"/>
    </row>
    <row r="22" customFormat="false" ht="15" hidden="false" customHeight="true" outlineLevel="0" collapsed="false">
      <c r="A22" s="17" t="s">
        <v>305</v>
      </c>
      <c r="B22" s="17" t="s">
        <v>306</v>
      </c>
      <c r="C22" s="17" t="s">
        <v>307</v>
      </c>
      <c r="D22" s="17" t="n">
        <v>32</v>
      </c>
      <c r="E22" s="17" t="s">
        <v>241</v>
      </c>
      <c r="F22" s="17" t="s">
        <v>97</v>
      </c>
      <c r="G22" s="17" t="s">
        <v>97</v>
      </c>
      <c r="H22" s="17" t="s">
        <v>229</v>
      </c>
      <c r="I22" s="18" t="n">
        <v>46303.3673611111</v>
      </c>
      <c r="J22" s="18" t="n">
        <v>46303.3756944445</v>
      </c>
      <c r="K22" s="17" t="s">
        <v>44</v>
      </c>
      <c r="L22" s="17" t="s">
        <v>230</v>
      </c>
      <c r="M22" s="17" t="s">
        <v>231</v>
      </c>
      <c r="N22" s="17" t="n">
        <v>48</v>
      </c>
      <c r="O22" s="17"/>
      <c r="P22" s="17"/>
      <c r="Q22" s="17"/>
      <c r="R22" s="17"/>
      <c r="S22" s="17" t="n">
        <v>26</v>
      </c>
      <c r="T22" s="19" t="str">
        <f aca="false">IF(AND(ISNUMBER(S22),S22&lt;='Baca Dulu'!$B$14),"Valid","Invalid")</f>
        <v>Valid</v>
      </c>
      <c r="U22" s="19" t="str">
        <f aca="false">IF(T22="Invalid","Invalid",IF(OR(AND(ISNUMBER(O22),O22&lt;'Baca Dulu'!$B$13),AND(ISNUMBER(P22),P22&lt;'Baca Dulu'!$B$13)),"Positif 16/18",IF(OR(AND(ISNUMBER(Q22),Q22&lt;'Baca Dulu'!$B$13),AND(ISNUMBER(R22),R22&lt;'Baca Dulu'!$B$13)),"Positif lain","Negatif")))</f>
        <v>Negatif</v>
      </c>
      <c r="V22" s="17" t="s">
        <v>232</v>
      </c>
      <c r="W22" s="17"/>
      <c r="X22" s="17"/>
      <c r="Y22" s="19" t="str">
        <f aca="false">IF(V22="Dikirim",IF(X22-W22&lt;='Baca Dulu'!$B$15,"Ya","Tidak"),"")</f>
        <v/>
      </c>
      <c r="Z22" s="17"/>
      <c r="AA22" s="17"/>
      <c r="AB22" s="17"/>
    </row>
    <row r="23" customFormat="false" ht="15" hidden="false" customHeight="true" outlineLevel="0" collapsed="false">
      <c r="A23" s="17" t="s">
        <v>308</v>
      </c>
      <c r="B23" s="17" t="s">
        <v>309</v>
      </c>
      <c r="C23" s="17" t="s">
        <v>310</v>
      </c>
      <c r="D23" s="17" t="n">
        <v>34</v>
      </c>
      <c r="E23" s="17" t="s">
        <v>241</v>
      </c>
      <c r="F23" s="17" t="s">
        <v>228</v>
      </c>
      <c r="G23" s="17" t="s">
        <v>97</v>
      </c>
      <c r="H23" s="17" t="s">
        <v>229</v>
      </c>
      <c r="I23" s="18" t="n">
        <v>46305.6840277778</v>
      </c>
      <c r="J23" s="18" t="n">
        <v>46305.7048611111</v>
      </c>
      <c r="K23" s="17" t="s">
        <v>44</v>
      </c>
      <c r="L23" s="17" t="s">
        <v>242</v>
      </c>
      <c r="M23" s="17" t="s">
        <v>237</v>
      </c>
      <c r="N23" s="17" t="n">
        <v>42</v>
      </c>
      <c r="O23" s="17"/>
      <c r="P23" s="17"/>
      <c r="Q23" s="17"/>
      <c r="R23" s="17"/>
      <c r="S23" s="17" t="n">
        <v>25.8</v>
      </c>
      <c r="T23" s="19" t="str">
        <f aca="false">IF(AND(ISNUMBER(S23),S23&lt;='Baca Dulu'!$B$14),"Valid","Invalid")</f>
        <v>Valid</v>
      </c>
      <c r="U23" s="19" t="str">
        <f aca="false">IF(T23="Invalid","Invalid",IF(OR(AND(ISNUMBER(O23),O23&lt;'Baca Dulu'!$B$13),AND(ISNUMBER(P23),P23&lt;'Baca Dulu'!$B$13)),"Positif 16/18",IF(OR(AND(ISNUMBER(Q23),Q23&lt;'Baca Dulu'!$B$13),AND(ISNUMBER(R23),R23&lt;'Baca Dulu'!$B$13)),"Positif lain","Negatif")))</f>
        <v>Negatif</v>
      </c>
      <c r="V23" s="17" t="s">
        <v>232</v>
      </c>
      <c r="W23" s="17"/>
      <c r="X23" s="17"/>
      <c r="Y23" s="19" t="str">
        <f aca="false">IF(V23="Dikirim",IF(X23-W23&lt;='Baca Dulu'!$B$15,"Ya","Tidak"),"")</f>
        <v/>
      </c>
      <c r="Z23" s="17"/>
      <c r="AA23" s="17"/>
      <c r="AB23" s="17"/>
    </row>
    <row r="24" customFormat="false" ht="15" hidden="false" customHeight="true" outlineLevel="0" collapsed="false">
      <c r="A24" s="17" t="s">
        <v>311</v>
      </c>
      <c r="B24" s="17" t="s">
        <v>312</v>
      </c>
      <c r="C24" s="17" t="s">
        <v>313</v>
      </c>
      <c r="D24" s="17" t="n">
        <v>51</v>
      </c>
      <c r="E24" s="17" t="s">
        <v>241</v>
      </c>
      <c r="F24" s="17" t="s">
        <v>228</v>
      </c>
      <c r="G24" s="17" t="s">
        <v>97</v>
      </c>
      <c r="H24" s="17" t="s">
        <v>229</v>
      </c>
      <c r="I24" s="18" t="n">
        <v>46302.5534722222</v>
      </c>
      <c r="J24" s="18" t="n">
        <v>46302.5791666667</v>
      </c>
      <c r="K24" s="17" t="s">
        <v>44</v>
      </c>
      <c r="L24" s="17" t="s">
        <v>250</v>
      </c>
      <c r="M24" s="17" t="s">
        <v>231</v>
      </c>
      <c r="N24" s="17" t="n">
        <v>45</v>
      </c>
      <c r="O24" s="17"/>
      <c r="P24" s="17"/>
      <c r="Q24" s="17"/>
      <c r="R24" s="17"/>
      <c r="S24" s="17" t="n">
        <v>30.1</v>
      </c>
      <c r="T24" s="19" t="str">
        <f aca="false">IF(AND(ISNUMBER(S24),S24&lt;='Baca Dulu'!$B$14),"Valid","Invalid")</f>
        <v>Valid</v>
      </c>
      <c r="U24" s="19" t="str">
        <f aca="false">IF(T24="Invalid","Invalid",IF(OR(AND(ISNUMBER(O24),O24&lt;'Baca Dulu'!$B$13),AND(ISNUMBER(P24),P24&lt;'Baca Dulu'!$B$13)),"Positif 16/18",IF(OR(AND(ISNUMBER(Q24),Q24&lt;'Baca Dulu'!$B$13),AND(ISNUMBER(R24),R24&lt;'Baca Dulu'!$B$13)),"Positif lain","Negatif")))</f>
        <v>Negatif</v>
      </c>
      <c r="V24" s="17" t="s">
        <v>232</v>
      </c>
      <c r="W24" s="17"/>
      <c r="X24" s="17"/>
      <c r="Y24" s="19" t="str">
        <f aca="false">IF(V24="Dikirim",IF(X24-W24&lt;='Baca Dulu'!$B$15,"Ya","Tidak"),"")</f>
        <v/>
      </c>
      <c r="Z24" s="17"/>
      <c r="AA24" s="17"/>
      <c r="AB24" s="17"/>
    </row>
    <row r="25" customFormat="false" ht="15" hidden="false" customHeight="true" outlineLevel="0" collapsed="false">
      <c r="A25" s="17" t="s">
        <v>314</v>
      </c>
      <c r="B25" s="17" t="s">
        <v>315</v>
      </c>
      <c r="C25" s="17" t="s">
        <v>316</v>
      </c>
      <c r="D25" s="17" t="n">
        <v>35</v>
      </c>
      <c r="E25" s="17" t="s">
        <v>241</v>
      </c>
      <c r="F25" s="17" t="s">
        <v>44</v>
      </c>
      <c r="G25" s="17" t="s">
        <v>44</v>
      </c>
      <c r="H25" s="17" t="s">
        <v>229</v>
      </c>
      <c r="I25" s="18" t="n">
        <v>46304.7722222222</v>
      </c>
      <c r="J25" s="18" t="n">
        <v>46304.7784722222</v>
      </c>
      <c r="K25" s="17" t="s">
        <v>97</v>
      </c>
      <c r="L25" s="17" t="s">
        <v>242</v>
      </c>
      <c r="M25" s="17" t="s">
        <v>237</v>
      </c>
      <c r="N25" s="17" t="n">
        <v>43</v>
      </c>
      <c r="O25" s="17"/>
      <c r="P25" s="17"/>
      <c r="Q25" s="17"/>
      <c r="R25" s="17"/>
      <c r="S25" s="17"/>
      <c r="T25" s="19" t="str">
        <f aca="false">IF(AND(ISNUMBER(S25),S25&lt;='Baca Dulu'!$B$14),"Valid","Invalid")</f>
        <v>Invalid</v>
      </c>
      <c r="U25" s="19" t="str">
        <f aca="false">IF(T25="Invalid","Invalid",IF(OR(AND(ISNUMBER(O25),O25&lt;'Baca Dulu'!$B$13),AND(ISNUMBER(P25),P25&lt;'Baca Dulu'!$B$13)),"Positif 16/18",IF(OR(AND(ISNUMBER(Q25),Q25&lt;'Baca Dulu'!$B$13),AND(ISNUMBER(R25),R25&lt;'Baca Dulu'!$B$13)),"Positif lain","Negatif")))</f>
        <v>Invalid</v>
      </c>
      <c r="V25" s="17" t="s">
        <v>232</v>
      </c>
      <c r="W25" s="17"/>
      <c r="X25" s="17"/>
      <c r="Y25" s="19" t="str">
        <f aca="false">IF(V25="Dikirim",IF(X25-W25&lt;='Baca Dulu'!$B$15,"Ya","Tidak"),"")</f>
        <v/>
      </c>
      <c r="Z25" s="17"/>
      <c r="AA25" s="17"/>
      <c r="AB25" s="17"/>
    </row>
    <row r="26" customFormat="false" ht="15" hidden="false" customHeight="true" outlineLevel="0" collapsed="false">
      <c r="A26" s="17" t="s">
        <v>317</v>
      </c>
      <c r="B26" s="17" t="s">
        <v>318</v>
      </c>
      <c r="C26" s="17" t="s">
        <v>319</v>
      </c>
      <c r="D26" s="17" t="n">
        <v>46</v>
      </c>
      <c r="E26" s="17" t="s">
        <v>241</v>
      </c>
      <c r="F26" s="17" t="s">
        <v>97</v>
      </c>
      <c r="G26" s="17" t="s">
        <v>97</v>
      </c>
      <c r="H26" s="17" t="s">
        <v>229</v>
      </c>
      <c r="I26" s="18" t="n">
        <v>46302.69375</v>
      </c>
      <c r="J26" s="18" t="n">
        <v>46302.7138888889</v>
      </c>
      <c r="K26" s="17" t="s">
        <v>44</v>
      </c>
      <c r="L26" s="17" t="s">
        <v>242</v>
      </c>
      <c r="M26" s="17" t="s">
        <v>231</v>
      </c>
      <c r="N26" s="17" t="n">
        <v>51</v>
      </c>
      <c r="O26" s="17"/>
      <c r="P26" s="17"/>
      <c r="Q26" s="17" t="n">
        <v>25.7</v>
      </c>
      <c r="R26" s="17"/>
      <c r="S26" s="17" t="n">
        <v>22.7</v>
      </c>
      <c r="T26" s="19" t="str">
        <f aca="false">IF(AND(ISNUMBER(S26),S26&lt;='Baca Dulu'!$B$14),"Valid","Invalid")</f>
        <v>Valid</v>
      </c>
      <c r="U26" s="19" t="str">
        <f aca="false">IF(T26="Invalid","Invalid",IF(OR(AND(ISNUMBER(O26),O26&lt;'Baca Dulu'!$B$13),AND(ISNUMBER(P26),P26&lt;'Baca Dulu'!$B$13)),"Positif 16/18",IF(OR(AND(ISNUMBER(Q26),Q26&lt;'Baca Dulu'!$B$13),AND(ISNUMBER(R26),R26&lt;'Baca Dulu'!$B$13)),"Positif lain","Negatif")))</f>
        <v>Positif lain</v>
      </c>
      <c r="V26" s="17" t="s">
        <v>261</v>
      </c>
      <c r="W26" s="20" t="n">
        <v>46304</v>
      </c>
      <c r="X26" s="20" t="n">
        <v>46305</v>
      </c>
      <c r="Y26" s="19" t="str">
        <f aca="false">IF(V26="Dikirim",IF(X26-W26&lt;='Baca Dulu'!$B$15,"Ya","Tidak"),"")</f>
        <v>Ya</v>
      </c>
      <c r="Z26" s="17" t="s">
        <v>274</v>
      </c>
      <c r="AA26" s="17" t="s">
        <v>263</v>
      </c>
      <c r="AB26" s="17" t="s">
        <v>264</v>
      </c>
    </row>
    <row r="27" customFormat="false" ht="15" hidden="false" customHeight="true" outlineLevel="0" collapsed="false">
      <c r="A27" s="17" t="s">
        <v>320</v>
      </c>
      <c r="B27" s="17" t="s">
        <v>321</v>
      </c>
      <c r="C27" s="17" t="s">
        <v>322</v>
      </c>
      <c r="D27" s="17" t="n">
        <v>57</v>
      </c>
      <c r="E27" s="17" t="s">
        <v>241</v>
      </c>
      <c r="F27" s="17" t="s">
        <v>228</v>
      </c>
      <c r="G27" s="17" t="s">
        <v>97</v>
      </c>
      <c r="H27" s="17" t="s">
        <v>229</v>
      </c>
      <c r="I27" s="18" t="n">
        <v>46305.5333333333</v>
      </c>
      <c r="J27" s="18" t="n">
        <v>46305.5493055556</v>
      </c>
      <c r="K27" s="17" t="s">
        <v>97</v>
      </c>
      <c r="L27" s="17" t="s">
        <v>242</v>
      </c>
      <c r="M27" s="17" t="s">
        <v>237</v>
      </c>
      <c r="N27" s="17" t="n">
        <v>51</v>
      </c>
      <c r="O27" s="17"/>
      <c r="P27" s="17" t="n">
        <v>22.9</v>
      </c>
      <c r="Q27" s="17"/>
      <c r="R27" s="17"/>
      <c r="S27" s="17" t="n">
        <v>26</v>
      </c>
      <c r="T27" s="19" t="str">
        <f aca="false">IF(AND(ISNUMBER(S27),S27&lt;='Baca Dulu'!$B$14),"Valid","Invalid")</f>
        <v>Valid</v>
      </c>
      <c r="U27" s="19" t="str">
        <f aca="false">IF(T27="Invalid","Invalid",IF(OR(AND(ISNUMBER(O27),O27&lt;'Baca Dulu'!$B$13),AND(ISNUMBER(P27),P27&lt;'Baca Dulu'!$B$13)),"Positif 16/18",IF(OR(AND(ISNUMBER(Q27),Q27&lt;'Baca Dulu'!$B$13),AND(ISNUMBER(R27),R27&lt;'Baca Dulu'!$B$13)),"Positif lain","Negatif")))</f>
        <v>Positif 16/18</v>
      </c>
      <c r="V27" s="17" t="s">
        <v>261</v>
      </c>
      <c r="W27" s="20" t="n">
        <v>46307</v>
      </c>
      <c r="X27" s="20" t="n">
        <v>46308</v>
      </c>
      <c r="Y27" s="19" t="str">
        <f aca="false">IF(V27="Dikirim",IF(X27-W27&lt;='Baca Dulu'!$B$15,"Ya","Tidak"),"")</f>
        <v>Ya</v>
      </c>
      <c r="Z27" s="17" t="s">
        <v>291</v>
      </c>
      <c r="AA27" s="17" t="s">
        <v>284</v>
      </c>
      <c r="AB27" s="17" t="s">
        <v>264</v>
      </c>
    </row>
    <row r="28" customFormat="false" ht="15" hidden="false" customHeight="true" outlineLevel="0" collapsed="false">
      <c r="A28" s="17" t="s">
        <v>323</v>
      </c>
      <c r="B28" s="17" t="s">
        <v>324</v>
      </c>
      <c r="C28" s="17" t="s">
        <v>325</v>
      </c>
      <c r="D28" s="17" t="n">
        <v>47</v>
      </c>
      <c r="E28" s="17" t="s">
        <v>241</v>
      </c>
      <c r="F28" s="17" t="s">
        <v>97</v>
      </c>
      <c r="G28" s="17" t="s">
        <v>97</v>
      </c>
      <c r="H28" s="17" t="s">
        <v>229</v>
      </c>
      <c r="I28" s="18" t="n">
        <v>46304.5527777778</v>
      </c>
      <c r="J28" s="18" t="n">
        <v>46304.56875</v>
      </c>
      <c r="K28" s="17" t="s">
        <v>44</v>
      </c>
      <c r="L28" s="17" t="s">
        <v>230</v>
      </c>
      <c r="M28" s="17" t="s">
        <v>231</v>
      </c>
      <c r="N28" s="17" t="n">
        <v>50</v>
      </c>
      <c r="O28" s="17"/>
      <c r="P28" s="17"/>
      <c r="Q28" s="17"/>
      <c r="R28" s="17"/>
      <c r="S28" s="17" t="n">
        <v>27.8</v>
      </c>
      <c r="T28" s="19" t="str">
        <f aca="false">IF(AND(ISNUMBER(S28),S28&lt;='Baca Dulu'!$B$14),"Valid","Invalid")</f>
        <v>Valid</v>
      </c>
      <c r="U28" s="19" t="str">
        <f aca="false">IF(T28="Invalid","Invalid",IF(OR(AND(ISNUMBER(O28),O28&lt;'Baca Dulu'!$B$13),AND(ISNUMBER(P28),P28&lt;'Baca Dulu'!$B$13)),"Positif 16/18",IF(OR(AND(ISNUMBER(Q28),Q28&lt;'Baca Dulu'!$B$13),AND(ISNUMBER(R28),R28&lt;'Baca Dulu'!$B$13)),"Positif lain","Negatif")))</f>
        <v>Negatif</v>
      </c>
      <c r="V28" s="17" t="s">
        <v>232</v>
      </c>
      <c r="W28" s="17"/>
      <c r="X28" s="17"/>
      <c r="Y28" s="19" t="str">
        <f aca="false">IF(V28="Dikirim",IF(X28-W28&lt;='Baca Dulu'!$B$15,"Ya","Tidak"),"")</f>
        <v/>
      </c>
      <c r="Z28" s="17"/>
      <c r="AA28" s="17"/>
      <c r="AB28" s="17"/>
    </row>
    <row r="29" customFormat="false" ht="15" hidden="false" customHeight="true" outlineLevel="0" collapsed="false">
      <c r="A29" s="17" t="s">
        <v>326</v>
      </c>
      <c r="B29" s="17" t="s">
        <v>327</v>
      </c>
      <c r="C29" s="17" t="s">
        <v>328</v>
      </c>
      <c r="D29" s="17" t="n">
        <v>58</v>
      </c>
      <c r="E29" s="17" t="s">
        <v>241</v>
      </c>
      <c r="F29" s="17" t="s">
        <v>44</v>
      </c>
      <c r="G29" s="17" t="s">
        <v>97</v>
      </c>
      <c r="H29" s="17" t="s">
        <v>229</v>
      </c>
      <c r="I29" s="18" t="n">
        <v>46300.7680555556</v>
      </c>
      <c r="J29" s="18" t="n">
        <v>46300.7840277778</v>
      </c>
      <c r="K29" s="17" t="s">
        <v>44</v>
      </c>
      <c r="L29" s="17" t="s">
        <v>230</v>
      </c>
      <c r="M29" s="17" t="s">
        <v>231</v>
      </c>
      <c r="N29" s="17" t="n">
        <v>42</v>
      </c>
      <c r="O29" s="17"/>
      <c r="P29" s="17"/>
      <c r="Q29" s="17"/>
      <c r="R29" s="17"/>
      <c r="S29" s="17" t="n">
        <v>22.6</v>
      </c>
      <c r="T29" s="19" t="str">
        <f aca="false">IF(AND(ISNUMBER(S29),S29&lt;='Baca Dulu'!$B$14),"Valid","Invalid")</f>
        <v>Valid</v>
      </c>
      <c r="U29" s="19" t="str">
        <f aca="false">IF(T29="Invalid","Invalid",IF(OR(AND(ISNUMBER(O29),O29&lt;'Baca Dulu'!$B$13),AND(ISNUMBER(P29),P29&lt;'Baca Dulu'!$B$13)),"Positif 16/18",IF(OR(AND(ISNUMBER(Q29),Q29&lt;'Baca Dulu'!$B$13),AND(ISNUMBER(R29),R29&lt;'Baca Dulu'!$B$13)),"Positif lain","Negatif")))</f>
        <v>Negatif</v>
      </c>
      <c r="V29" s="17" t="s">
        <v>232</v>
      </c>
      <c r="W29" s="17"/>
      <c r="X29" s="17"/>
      <c r="Y29" s="19" t="str">
        <f aca="false">IF(V29="Dikirim",IF(X29-W29&lt;='Baca Dulu'!$B$15,"Ya","Tidak"),"")</f>
        <v/>
      </c>
      <c r="Z29" s="17"/>
      <c r="AA29" s="17"/>
      <c r="AB29" s="17"/>
    </row>
    <row r="30" customFormat="false" ht="15" hidden="false" customHeight="true" outlineLevel="0" collapsed="false">
      <c r="A30" s="17" t="s">
        <v>329</v>
      </c>
      <c r="B30" s="17" t="s">
        <v>330</v>
      </c>
      <c r="C30" s="17" t="s">
        <v>331</v>
      </c>
      <c r="D30" s="17" t="n">
        <v>53</v>
      </c>
      <c r="E30" s="17" t="s">
        <v>260</v>
      </c>
      <c r="F30" s="17" t="s">
        <v>97</v>
      </c>
      <c r="G30" s="17" t="s">
        <v>97</v>
      </c>
      <c r="H30" s="17" t="s">
        <v>229</v>
      </c>
      <c r="I30" s="18" t="n">
        <v>46300.7041666667</v>
      </c>
      <c r="J30" s="18" t="n">
        <v>46300.7173611111</v>
      </c>
      <c r="K30" s="17" t="s">
        <v>44</v>
      </c>
      <c r="L30" s="17" t="s">
        <v>236</v>
      </c>
      <c r="M30" s="17" t="s">
        <v>231</v>
      </c>
      <c r="N30" s="17" t="n">
        <v>51</v>
      </c>
      <c r="O30" s="17"/>
      <c r="P30" s="17"/>
      <c r="Q30" s="17"/>
      <c r="R30" s="17"/>
      <c r="S30" s="17" t="n">
        <v>27.5</v>
      </c>
      <c r="T30" s="19" t="str">
        <f aca="false">IF(AND(ISNUMBER(S30),S30&lt;='Baca Dulu'!$B$14),"Valid","Invalid")</f>
        <v>Valid</v>
      </c>
      <c r="U30" s="19" t="str">
        <f aca="false">IF(T30="Invalid","Invalid",IF(OR(AND(ISNUMBER(O30),O30&lt;'Baca Dulu'!$B$13),AND(ISNUMBER(P30),P30&lt;'Baca Dulu'!$B$13)),"Positif 16/18",IF(OR(AND(ISNUMBER(Q30),Q30&lt;'Baca Dulu'!$B$13),AND(ISNUMBER(R30),R30&lt;'Baca Dulu'!$B$13)),"Positif lain","Negatif")))</f>
        <v>Negatif</v>
      </c>
      <c r="V30" s="17" t="s">
        <v>232</v>
      </c>
      <c r="W30" s="17"/>
      <c r="X30" s="17"/>
      <c r="Y30" s="19" t="str">
        <f aca="false">IF(V30="Dikirim",IF(X30-W30&lt;='Baca Dulu'!$B$15,"Ya","Tidak"),"")</f>
        <v/>
      </c>
      <c r="Z30" s="17"/>
      <c r="AA30" s="17"/>
      <c r="AB30" s="17"/>
    </row>
    <row r="31" customFormat="false" ht="15" hidden="false" customHeight="true" outlineLevel="0" collapsed="false">
      <c r="A31" s="17" t="s">
        <v>332</v>
      </c>
      <c r="B31" s="17" t="s">
        <v>333</v>
      </c>
      <c r="C31" s="17" t="s">
        <v>334</v>
      </c>
      <c r="D31" s="17" t="n">
        <v>57</v>
      </c>
      <c r="E31" s="17" t="s">
        <v>260</v>
      </c>
      <c r="F31" s="17" t="s">
        <v>44</v>
      </c>
      <c r="G31" s="17" t="s">
        <v>97</v>
      </c>
      <c r="H31" s="17" t="s">
        <v>229</v>
      </c>
      <c r="I31" s="18" t="n">
        <v>46309.4548611111</v>
      </c>
      <c r="J31" s="18" t="n">
        <v>46309.4618055556</v>
      </c>
      <c r="K31" s="17" t="s">
        <v>44</v>
      </c>
      <c r="L31" s="17" t="s">
        <v>250</v>
      </c>
      <c r="M31" s="17" t="s">
        <v>237</v>
      </c>
      <c r="N31" s="17" t="n">
        <v>43</v>
      </c>
      <c r="O31" s="17"/>
      <c r="P31" s="17"/>
      <c r="Q31" s="17"/>
      <c r="R31" s="17"/>
      <c r="S31" s="17" t="n">
        <v>27.4</v>
      </c>
      <c r="T31" s="19" t="str">
        <f aca="false">IF(AND(ISNUMBER(S31),S31&lt;='Baca Dulu'!$B$14),"Valid","Invalid")</f>
        <v>Valid</v>
      </c>
      <c r="U31" s="19" t="str">
        <f aca="false">IF(T31="Invalid","Invalid",IF(OR(AND(ISNUMBER(O31),O31&lt;'Baca Dulu'!$B$13),AND(ISNUMBER(P31),P31&lt;'Baca Dulu'!$B$13)),"Positif 16/18",IF(OR(AND(ISNUMBER(Q31),Q31&lt;'Baca Dulu'!$B$13),AND(ISNUMBER(R31),R31&lt;'Baca Dulu'!$B$13)),"Positif lain","Negatif")))</f>
        <v>Negatif</v>
      </c>
      <c r="V31" s="17" t="s">
        <v>232</v>
      </c>
      <c r="W31" s="17"/>
      <c r="X31" s="17"/>
      <c r="Y31" s="19" t="str">
        <f aca="false">IF(V31="Dikirim",IF(X31-W31&lt;='Baca Dulu'!$B$15,"Ya","Tidak"),"")</f>
        <v/>
      </c>
      <c r="Z31" s="17"/>
      <c r="AA31" s="17"/>
      <c r="AB31" s="17"/>
    </row>
    <row r="32" customFormat="false" ht="15" hidden="false" customHeight="true" outlineLevel="0" collapsed="false">
      <c r="A32" s="17" t="s">
        <v>335</v>
      </c>
      <c r="B32" s="17" t="s">
        <v>336</v>
      </c>
      <c r="C32" s="17" t="s">
        <v>337</v>
      </c>
      <c r="D32" s="17" t="n">
        <v>39</v>
      </c>
      <c r="E32" s="17" t="s">
        <v>241</v>
      </c>
      <c r="F32" s="17" t="s">
        <v>44</v>
      </c>
      <c r="G32" s="17" t="s">
        <v>97</v>
      </c>
      <c r="H32" s="17" t="s">
        <v>229</v>
      </c>
      <c r="I32" s="18" t="n">
        <v>46301.4944444444</v>
      </c>
      <c r="J32" s="18" t="n">
        <v>46301.5118055556</v>
      </c>
      <c r="K32" s="17" t="s">
        <v>44</v>
      </c>
      <c r="L32" s="17" t="s">
        <v>236</v>
      </c>
      <c r="M32" s="17" t="s">
        <v>231</v>
      </c>
      <c r="N32" s="17" t="n">
        <v>43</v>
      </c>
      <c r="O32" s="17"/>
      <c r="P32" s="17"/>
      <c r="Q32" s="17"/>
      <c r="R32" s="17"/>
      <c r="S32" s="17" t="n">
        <v>22.1</v>
      </c>
      <c r="T32" s="19" t="str">
        <f aca="false">IF(AND(ISNUMBER(S32),S32&lt;='Baca Dulu'!$B$14),"Valid","Invalid")</f>
        <v>Valid</v>
      </c>
      <c r="U32" s="19" t="str">
        <f aca="false">IF(T32="Invalid","Invalid",IF(OR(AND(ISNUMBER(O32),O32&lt;'Baca Dulu'!$B$13),AND(ISNUMBER(P32),P32&lt;'Baca Dulu'!$B$13)),"Positif 16/18",IF(OR(AND(ISNUMBER(Q32),Q32&lt;'Baca Dulu'!$B$13),AND(ISNUMBER(R32),R32&lt;'Baca Dulu'!$B$13)),"Positif lain","Negatif")))</f>
        <v>Negatif</v>
      </c>
      <c r="V32" s="17" t="s">
        <v>232</v>
      </c>
      <c r="W32" s="17"/>
      <c r="X32" s="17"/>
      <c r="Y32" s="19" t="str">
        <f aca="false">IF(V32="Dikirim",IF(X32-W32&lt;='Baca Dulu'!$B$15,"Ya","Tidak"),"")</f>
        <v/>
      </c>
      <c r="Z32" s="17"/>
      <c r="AA32" s="17"/>
      <c r="AB32" s="17"/>
    </row>
    <row r="33" customFormat="false" ht="15" hidden="false" customHeight="true" outlineLevel="0" collapsed="false">
      <c r="A33" s="17" t="s">
        <v>338</v>
      </c>
      <c r="B33" s="17" t="s">
        <v>339</v>
      </c>
      <c r="C33" s="17" t="s">
        <v>340</v>
      </c>
      <c r="D33" s="17" t="n">
        <v>30</v>
      </c>
      <c r="E33" s="17" t="s">
        <v>246</v>
      </c>
      <c r="F33" s="17" t="s">
        <v>97</v>
      </c>
      <c r="G33" s="17" t="s">
        <v>97</v>
      </c>
      <c r="H33" s="17" t="s">
        <v>229</v>
      </c>
      <c r="I33" s="18" t="n">
        <v>46303.75625</v>
      </c>
      <c r="J33" s="18" t="n">
        <v>46303.7791666667</v>
      </c>
      <c r="K33" s="17" t="s">
        <v>44</v>
      </c>
      <c r="L33" s="17" t="s">
        <v>242</v>
      </c>
      <c r="M33" s="17" t="s">
        <v>231</v>
      </c>
      <c r="N33" s="17" t="n">
        <v>48</v>
      </c>
      <c r="O33" s="17"/>
      <c r="P33" s="17"/>
      <c r="Q33" s="17"/>
      <c r="R33" s="17"/>
      <c r="S33" s="17" t="n">
        <v>25.3</v>
      </c>
      <c r="T33" s="19" t="str">
        <f aca="false">IF(AND(ISNUMBER(S33),S33&lt;='Baca Dulu'!$B$14),"Valid","Invalid")</f>
        <v>Valid</v>
      </c>
      <c r="U33" s="19" t="str">
        <f aca="false">IF(T33="Invalid","Invalid",IF(OR(AND(ISNUMBER(O33),O33&lt;'Baca Dulu'!$B$13),AND(ISNUMBER(P33),P33&lt;'Baca Dulu'!$B$13)),"Positif 16/18",IF(OR(AND(ISNUMBER(Q33),Q33&lt;'Baca Dulu'!$B$13),AND(ISNUMBER(R33),R33&lt;'Baca Dulu'!$B$13)),"Positif lain","Negatif")))</f>
        <v>Negatif</v>
      </c>
      <c r="V33" s="17" t="s">
        <v>232</v>
      </c>
      <c r="W33" s="17"/>
      <c r="X33" s="17"/>
      <c r="Y33" s="19" t="str">
        <f aca="false">IF(V33="Dikirim",IF(X33-W33&lt;='Baca Dulu'!$B$15,"Ya","Tidak"),"")</f>
        <v/>
      </c>
      <c r="Z33" s="17"/>
      <c r="AA33" s="17"/>
      <c r="AB33" s="17"/>
    </row>
    <row r="34" customFormat="false" ht="15" hidden="false" customHeight="true" outlineLevel="0" collapsed="false">
      <c r="A34" s="17" t="s">
        <v>341</v>
      </c>
      <c r="B34" s="17" t="s">
        <v>342</v>
      </c>
      <c r="C34" s="17" t="s">
        <v>343</v>
      </c>
      <c r="D34" s="17" t="n">
        <v>35</v>
      </c>
      <c r="E34" s="17" t="s">
        <v>246</v>
      </c>
      <c r="F34" s="17" t="s">
        <v>97</v>
      </c>
      <c r="G34" s="17" t="s">
        <v>97</v>
      </c>
      <c r="H34" s="17" t="s">
        <v>229</v>
      </c>
      <c r="I34" s="18" t="n">
        <v>46306.6680555556</v>
      </c>
      <c r="J34" s="18" t="n">
        <v>46306.69375</v>
      </c>
      <c r="K34" s="17" t="s">
        <v>44</v>
      </c>
      <c r="L34" s="17" t="s">
        <v>230</v>
      </c>
      <c r="M34" s="17" t="s">
        <v>231</v>
      </c>
      <c r="N34" s="17" t="n">
        <v>49</v>
      </c>
      <c r="O34" s="17"/>
      <c r="P34" s="17"/>
      <c r="Q34" s="17"/>
      <c r="R34" s="17"/>
      <c r="S34" s="17" t="n">
        <v>27.5</v>
      </c>
      <c r="T34" s="19" t="str">
        <f aca="false">IF(AND(ISNUMBER(S34),S34&lt;='Baca Dulu'!$B$14),"Valid","Invalid")</f>
        <v>Valid</v>
      </c>
      <c r="U34" s="19" t="str">
        <f aca="false">IF(T34="Invalid","Invalid",IF(OR(AND(ISNUMBER(O34),O34&lt;'Baca Dulu'!$B$13),AND(ISNUMBER(P34),P34&lt;'Baca Dulu'!$B$13)),"Positif 16/18",IF(OR(AND(ISNUMBER(Q34),Q34&lt;'Baca Dulu'!$B$13),AND(ISNUMBER(R34),R34&lt;'Baca Dulu'!$B$13)),"Positif lain","Negatif")))</f>
        <v>Negatif</v>
      </c>
      <c r="V34" s="17" t="s">
        <v>232</v>
      </c>
      <c r="W34" s="17"/>
      <c r="X34" s="17"/>
      <c r="Y34" s="19" t="str">
        <f aca="false">IF(V34="Dikirim",IF(X34-W34&lt;='Baca Dulu'!$B$15,"Ya","Tidak"),"")</f>
        <v/>
      </c>
      <c r="Z34" s="17"/>
      <c r="AA34" s="17"/>
      <c r="AB34" s="17"/>
    </row>
    <row r="35" customFormat="false" ht="15" hidden="false" customHeight="true" outlineLevel="0" collapsed="false">
      <c r="A35" s="17" t="s">
        <v>344</v>
      </c>
      <c r="B35" s="17" t="s">
        <v>345</v>
      </c>
      <c r="C35" s="17" t="s">
        <v>346</v>
      </c>
      <c r="D35" s="17" t="n">
        <v>45</v>
      </c>
      <c r="E35" s="17" t="s">
        <v>241</v>
      </c>
      <c r="F35" s="17" t="s">
        <v>97</v>
      </c>
      <c r="G35" s="17" t="s">
        <v>97</v>
      </c>
      <c r="H35" s="17" t="s">
        <v>229</v>
      </c>
      <c r="I35" s="18" t="n">
        <v>46309.5493055556</v>
      </c>
      <c r="J35" s="18" t="n">
        <v>46309.5708333333</v>
      </c>
      <c r="K35" s="17" t="s">
        <v>44</v>
      </c>
      <c r="L35" s="17" t="s">
        <v>236</v>
      </c>
      <c r="M35" s="17" t="s">
        <v>237</v>
      </c>
      <c r="N35" s="17" t="n">
        <v>50</v>
      </c>
      <c r="O35" s="17"/>
      <c r="P35" s="17"/>
      <c r="Q35" s="17"/>
      <c r="R35" s="17"/>
      <c r="S35" s="17" t="n">
        <v>30.1</v>
      </c>
      <c r="T35" s="19" t="str">
        <f aca="false">IF(AND(ISNUMBER(S35),S35&lt;='Baca Dulu'!$B$14),"Valid","Invalid")</f>
        <v>Valid</v>
      </c>
      <c r="U35" s="19" t="str">
        <f aca="false">IF(T35="Invalid","Invalid",IF(OR(AND(ISNUMBER(O35),O35&lt;'Baca Dulu'!$B$13),AND(ISNUMBER(P35),P35&lt;'Baca Dulu'!$B$13)),"Positif 16/18",IF(OR(AND(ISNUMBER(Q35),Q35&lt;'Baca Dulu'!$B$13),AND(ISNUMBER(R35),R35&lt;'Baca Dulu'!$B$13)),"Positif lain","Negatif")))</f>
        <v>Negatif</v>
      </c>
      <c r="V35" s="17" t="s">
        <v>232</v>
      </c>
      <c r="W35" s="17"/>
      <c r="X35" s="17"/>
      <c r="Y35" s="19" t="str">
        <f aca="false">IF(V35="Dikirim",IF(X35-W35&lt;='Baca Dulu'!$B$15,"Ya","Tidak"),"")</f>
        <v/>
      </c>
      <c r="Z35" s="17"/>
      <c r="AA35" s="17"/>
      <c r="AB35" s="17"/>
    </row>
    <row r="36" customFormat="false" ht="15" hidden="false" customHeight="true" outlineLevel="0" collapsed="false">
      <c r="A36" s="17" t="s">
        <v>347</v>
      </c>
      <c r="B36" s="17" t="s">
        <v>348</v>
      </c>
      <c r="C36" s="17" t="s">
        <v>349</v>
      </c>
      <c r="D36" s="17" t="n">
        <v>59</v>
      </c>
      <c r="E36" s="17" t="s">
        <v>227</v>
      </c>
      <c r="F36" s="17" t="s">
        <v>97</v>
      </c>
      <c r="G36" s="17" t="s">
        <v>97</v>
      </c>
      <c r="H36" s="17" t="s">
        <v>229</v>
      </c>
      <c r="I36" s="18" t="n">
        <v>46309.6444444444</v>
      </c>
      <c r="J36" s="18" t="n">
        <v>46309.65</v>
      </c>
      <c r="K36" s="17" t="s">
        <v>44</v>
      </c>
      <c r="L36" s="17" t="s">
        <v>236</v>
      </c>
      <c r="M36" s="17" t="s">
        <v>237</v>
      </c>
      <c r="N36" s="17" t="n">
        <v>48</v>
      </c>
      <c r="O36" s="17"/>
      <c r="P36" s="17" t="n">
        <v>30.4</v>
      </c>
      <c r="Q36" s="17"/>
      <c r="R36" s="17"/>
      <c r="S36" s="17" t="n">
        <v>29.9</v>
      </c>
      <c r="T36" s="19" t="str">
        <f aca="false">IF(AND(ISNUMBER(S36),S36&lt;='Baca Dulu'!$B$14),"Valid","Invalid")</f>
        <v>Valid</v>
      </c>
      <c r="U36" s="19" t="str">
        <f aca="false">IF(T36="Invalid","Invalid",IF(OR(AND(ISNUMBER(O36),O36&lt;'Baca Dulu'!$B$13),AND(ISNUMBER(P36),P36&lt;'Baca Dulu'!$B$13)),"Positif 16/18",IF(OR(AND(ISNUMBER(Q36),Q36&lt;'Baca Dulu'!$B$13),AND(ISNUMBER(R36),R36&lt;'Baca Dulu'!$B$13)),"Positif lain","Negatif")))</f>
        <v>Positif 16/18</v>
      </c>
      <c r="V36" s="17" t="s">
        <v>261</v>
      </c>
      <c r="W36" s="20" t="n">
        <v>46309</v>
      </c>
      <c r="X36" s="20" t="n">
        <v>46312</v>
      </c>
      <c r="Y36" s="19" t="str">
        <f aca="false">IF(V36="Dikirim",IF(X36-W36&lt;='Baca Dulu'!$B$15,"Ya","Tidak"),"")</f>
        <v>Ya</v>
      </c>
      <c r="Z36" s="17" t="s">
        <v>291</v>
      </c>
      <c r="AA36" s="17" t="s">
        <v>263</v>
      </c>
      <c r="AB36" s="17" t="s">
        <v>264</v>
      </c>
    </row>
    <row r="37" customFormat="false" ht="15" hidden="false" customHeight="true" outlineLevel="0" collapsed="false">
      <c r="A37" s="17" t="s">
        <v>350</v>
      </c>
      <c r="B37" s="17" t="s">
        <v>351</v>
      </c>
      <c r="C37" s="17" t="s">
        <v>352</v>
      </c>
      <c r="D37" s="17" t="n">
        <v>30</v>
      </c>
      <c r="E37" s="17" t="s">
        <v>260</v>
      </c>
      <c r="F37" s="17" t="s">
        <v>228</v>
      </c>
      <c r="G37" s="17" t="s">
        <v>97</v>
      </c>
      <c r="H37" s="17" t="s">
        <v>229</v>
      </c>
      <c r="I37" s="18" t="n">
        <v>46308.4458333333</v>
      </c>
      <c r="J37" s="18" t="n">
        <v>46308.4645833333</v>
      </c>
      <c r="K37" s="17" t="s">
        <v>44</v>
      </c>
      <c r="L37" s="17" t="s">
        <v>230</v>
      </c>
      <c r="M37" s="17" t="s">
        <v>231</v>
      </c>
      <c r="N37" s="17" t="n">
        <v>50</v>
      </c>
      <c r="O37" s="17"/>
      <c r="P37" s="17"/>
      <c r="Q37" s="17"/>
      <c r="R37" s="17"/>
      <c r="S37" s="17" t="n">
        <v>23.8</v>
      </c>
      <c r="T37" s="19" t="str">
        <f aca="false">IF(AND(ISNUMBER(S37),S37&lt;='Baca Dulu'!$B$14),"Valid","Invalid")</f>
        <v>Valid</v>
      </c>
      <c r="U37" s="19" t="str">
        <f aca="false">IF(T37="Invalid","Invalid",IF(OR(AND(ISNUMBER(O37),O37&lt;'Baca Dulu'!$B$13),AND(ISNUMBER(P37),P37&lt;'Baca Dulu'!$B$13)),"Positif 16/18",IF(OR(AND(ISNUMBER(Q37),Q37&lt;'Baca Dulu'!$B$13),AND(ISNUMBER(R37),R37&lt;'Baca Dulu'!$B$13)),"Positif lain","Negatif")))</f>
        <v>Negatif</v>
      </c>
      <c r="V37" s="17" t="s">
        <v>232</v>
      </c>
      <c r="W37" s="17"/>
      <c r="X37" s="17"/>
      <c r="Y37" s="19" t="str">
        <f aca="false">IF(V37="Dikirim",IF(X37-W37&lt;='Baca Dulu'!$B$15,"Ya","Tidak"),"")</f>
        <v/>
      </c>
      <c r="Z37" s="17"/>
      <c r="AA37" s="17"/>
      <c r="AB37" s="17"/>
    </row>
    <row r="38" customFormat="false" ht="15" hidden="false" customHeight="true" outlineLevel="0" collapsed="false">
      <c r="A38" s="17" t="s">
        <v>353</v>
      </c>
      <c r="B38" s="17" t="s">
        <v>354</v>
      </c>
      <c r="C38" s="17" t="s">
        <v>355</v>
      </c>
      <c r="D38" s="17" t="n">
        <v>63</v>
      </c>
      <c r="E38" s="17" t="s">
        <v>246</v>
      </c>
      <c r="F38" s="17" t="s">
        <v>44</v>
      </c>
      <c r="G38" s="17" t="s">
        <v>97</v>
      </c>
      <c r="H38" s="17" t="s">
        <v>229</v>
      </c>
      <c r="I38" s="18" t="n">
        <v>46303.5048611111</v>
      </c>
      <c r="J38" s="18" t="n">
        <v>46303.5173611111</v>
      </c>
      <c r="K38" s="17" t="s">
        <v>97</v>
      </c>
      <c r="L38" s="17" t="s">
        <v>230</v>
      </c>
      <c r="M38" s="17" t="s">
        <v>237</v>
      </c>
      <c r="N38" s="17" t="n">
        <v>46</v>
      </c>
      <c r="O38" s="17"/>
      <c r="P38" s="17"/>
      <c r="Q38" s="17"/>
      <c r="R38" s="17"/>
      <c r="S38" s="17" t="n">
        <v>36.2</v>
      </c>
      <c r="T38" s="19" t="str">
        <f aca="false">IF(AND(ISNUMBER(S38),S38&lt;='Baca Dulu'!$B$14),"Valid","Invalid")</f>
        <v>Invalid</v>
      </c>
      <c r="U38" s="19" t="str">
        <f aca="false">IF(T38="Invalid","Invalid",IF(OR(AND(ISNUMBER(O38),O38&lt;'Baca Dulu'!$B$13),AND(ISNUMBER(P38),P38&lt;'Baca Dulu'!$B$13)),"Positif 16/18",IF(OR(AND(ISNUMBER(Q38),Q38&lt;'Baca Dulu'!$B$13),AND(ISNUMBER(R38),R38&lt;'Baca Dulu'!$B$13)),"Positif lain","Negatif")))</f>
        <v>Invalid</v>
      </c>
      <c r="V38" s="17" t="s">
        <v>232</v>
      </c>
      <c r="W38" s="17"/>
      <c r="X38" s="17"/>
      <c r="Y38" s="19" t="str">
        <f aca="false">IF(V38="Dikirim",IF(X38-W38&lt;='Baca Dulu'!$B$15,"Ya","Tidak"),"")</f>
        <v/>
      </c>
      <c r="Z38" s="17"/>
      <c r="AA38" s="17"/>
      <c r="AB38" s="17"/>
    </row>
    <row r="39" customFormat="false" ht="15" hidden="false" customHeight="true" outlineLevel="0" collapsed="false">
      <c r="A39" s="17" t="s">
        <v>356</v>
      </c>
      <c r="B39" s="17" t="s">
        <v>357</v>
      </c>
      <c r="C39" s="17" t="s">
        <v>358</v>
      </c>
      <c r="D39" s="17" t="n">
        <v>31</v>
      </c>
      <c r="E39" s="17" t="s">
        <v>241</v>
      </c>
      <c r="F39" s="17" t="s">
        <v>97</v>
      </c>
      <c r="G39" s="17" t="s">
        <v>97</v>
      </c>
      <c r="H39" s="17" t="s">
        <v>229</v>
      </c>
      <c r="I39" s="18" t="n">
        <v>46301.7291666667</v>
      </c>
      <c r="J39" s="18" t="n">
        <v>46301.7416666667</v>
      </c>
      <c r="K39" s="17" t="s">
        <v>44</v>
      </c>
      <c r="L39" s="17" t="s">
        <v>236</v>
      </c>
      <c r="M39" s="17" t="s">
        <v>231</v>
      </c>
      <c r="N39" s="17" t="n">
        <v>44</v>
      </c>
      <c r="O39" s="17"/>
      <c r="P39" s="17"/>
      <c r="Q39" s="17"/>
      <c r="R39" s="17"/>
      <c r="S39" s="17" t="n">
        <v>27.6</v>
      </c>
      <c r="T39" s="19" t="str">
        <f aca="false">IF(AND(ISNUMBER(S39),S39&lt;='Baca Dulu'!$B$14),"Valid","Invalid")</f>
        <v>Valid</v>
      </c>
      <c r="U39" s="19" t="str">
        <f aca="false">IF(T39="Invalid","Invalid",IF(OR(AND(ISNUMBER(O39),O39&lt;'Baca Dulu'!$B$13),AND(ISNUMBER(P39),P39&lt;'Baca Dulu'!$B$13)),"Positif 16/18",IF(OR(AND(ISNUMBER(Q39),Q39&lt;'Baca Dulu'!$B$13),AND(ISNUMBER(R39),R39&lt;'Baca Dulu'!$B$13)),"Positif lain","Negatif")))</f>
        <v>Negatif</v>
      </c>
      <c r="V39" s="17" t="s">
        <v>232</v>
      </c>
      <c r="W39" s="17"/>
      <c r="X39" s="17"/>
      <c r="Y39" s="19" t="str">
        <f aca="false">IF(V39="Dikirim",IF(X39-W39&lt;='Baca Dulu'!$B$15,"Ya","Tidak"),"")</f>
        <v/>
      </c>
      <c r="Z39" s="17"/>
      <c r="AA39" s="17"/>
      <c r="AB39" s="17"/>
    </row>
    <row r="40" customFormat="false" ht="15" hidden="false" customHeight="true" outlineLevel="0" collapsed="false">
      <c r="A40" s="17" t="s">
        <v>359</v>
      </c>
      <c r="B40" s="17" t="s">
        <v>360</v>
      </c>
      <c r="C40" s="17" t="s">
        <v>361</v>
      </c>
      <c r="D40" s="17" t="n">
        <v>33</v>
      </c>
      <c r="E40" s="17" t="s">
        <v>241</v>
      </c>
      <c r="F40" s="17" t="s">
        <v>97</v>
      </c>
      <c r="G40" s="17" t="s">
        <v>97</v>
      </c>
      <c r="H40" s="17" t="s">
        <v>229</v>
      </c>
      <c r="I40" s="18" t="n">
        <v>46300.5493055556</v>
      </c>
      <c r="J40" s="18" t="n">
        <v>46300.5555555556</v>
      </c>
      <c r="K40" s="17" t="s">
        <v>44</v>
      </c>
      <c r="L40" s="17" t="s">
        <v>236</v>
      </c>
      <c r="M40" s="17" t="s">
        <v>231</v>
      </c>
      <c r="N40" s="17" t="n">
        <v>46</v>
      </c>
      <c r="O40" s="17"/>
      <c r="P40" s="17"/>
      <c r="Q40" s="17"/>
      <c r="R40" s="17"/>
      <c r="S40" s="17" t="n">
        <v>23.8</v>
      </c>
      <c r="T40" s="19" t="str">
        <f aca="false">IF(AND(ISNUMBER(S40),S40&lt;='Baca Dulu'!$B$14),"Valid","Invalid")</f>
        <v>Valid</v>
      </c>
      <c r="U40" s="19" t="str">
        <f aca="false">IF(T40="Invalid","Invalid",IF(OR(AND(ISNUMBER(O40),O40&lt;'Baca Dulu'!$B$13),AND(ISNUMBER(P40),P40&lt;'Baca Dulu'!$B$13)),"Positif 16/18",IF(OR(AND(ISNUMBER(Q40),Q40&lt;'Baca Dulu'!$B$13),AND(ISNUMBER(R40),R40&lt;'Baca Dulu'!$B$13)),"Positif lain","Negatif")))</f>
        <v>Negatif</v>
      </c>
      <c r="V40" s="17" t="s">
        <v>232</v>
      </c>
      <c r="W40" s="17"/>
      <c r="X40" s="17"/>
      <c r="Y40" s="19" t="str">
        <f aca="false">IF(V40="Dikirim",IF(X40-W40&lt;='Baca Dulu'!$B$15,"Ya","Tidak"),"")</f>
        <v/>
      </c>
      <c r="Z40" s="17"/>
      <c r="AA40" s="17"/>
      <c r="AB40" s="17"/>
    </row>
    <row r="41" customFormat="false" ht="15" hidden="false" customHeight="true" outlineLevel="0" collapsed="false">
      <c r="A41" s="17" t="s">
        <v>362</v>
      </c>
      <c r="B41" s="17" t="s">
        <v>363</v>
      </c>
      <c r="C41" s="17" t="s">
        <v>364</v>
      </c>
      <c r="D41" s="17" t="n">
        <v>31</v>
      </c>
      <c r="E41" s="17" t="s">
        <v>260</v>
      </c>
      <c r="F41" s="17" t="s">
        <v>228</v>
      </c>
      <c r="G41" s="17" t="s">
        <v>97</v>
      </c>
      <c r="H41" s="17" t="s">
        <v>229</v>
      </c>
      <c r="I41" s="18" t="n">
        <v>46301.5090277778</v>
      </c>
      <c r="J41" s="18" t="n">
        <v>46301.5263888889</v>
      </c>
      <c r="K41" s="17" t="s">
        <v>44</v>
      </c>
      <c r="L41" s="17" t="s">
        <v>250</v>
      </c>
      <c r="M41" s="17" t="s">
        <v>231</v>
      </c>
      <c r="N41" s="17" t="n">
        <v>49</v>
      </c>
      <c r="O41" s="17"/>
      <c r="P41" s="17"/>
      <c r="Q41" s="17"/>
      <c r="R41" s="17"/>
      <c r="S41" s="17" t="n">
        <v>23.7</v>
      </c>
      <c r="T41" s="19" t="str">
        <f aca="false">IF(AND(ISNUMBER(S41),S41&lt;='Baca Dulu'!$B$14),"Valid","Invalid")</f>
        <v>Valid</v>
      </c>
      <c r="U41" s="19" t="str">
        <f aca="false">IF(T41="Invalid","Invalid",IF(OR(AND(ISNUMBER(O41),O41&lt;'Baca Dulu'!$B$13),AND(ISNUMBER(P41),P41&lt;'Baca Dulu'!$B$13)),"Positif 16/18",IF(OR(AND(ISNUMBER(Q41),Q41&lt;'Baca Dulu'!$B$13),AND(ISNUMBER(R41),R41&lt;'Baca Dulu'!$B$13)),"Positif lain","Negatif")))</f>
        <v>Negatif</v>
      </c>
      <c r="V41" s="17" t="s">
        <v>232</v>
      </c>
      <c r="W41" s="17"/>
      <c r="X41" s="17"/>
      <c r="Y41" s="19" t="str">
        <f aca="false">IF(V41="Dikirim",IF(X41-W41&lt;='Baca Dulu'!$B$15,"Ya","Tidak"),"")</f>
        <v/>
      </c>
      <c r="Z41" s="17"/>
      <c r="AA41" s="17"/>
      <c r="AB41" s="17"/>
    </row>
    <row r="42" customFormat="false" ht="15" hidden="false" customHeight="true" outlineLevel="0" collapsed="false">
      <c r="A42" s="17" t="s">
        <v>365</v>
      </c>
      <c r="B42" s="17" t="s">
        <v>366</v>
      </c>
      <c r="C42" s="17" t="s">
        <v>367</v>
      </c>
      <c r="D42" s="17" t="n">
        <v>42</v>
      </c>
      <c r="E42" s="17" t="s">
        <v>241</v>
      </c>
      <c r="F42" s="17" t="s">
        <v>97</v>
      </c>
      <c r="G42" s="17" t="s">
        <v>97</v>
      </c>
      <c r="H42" s="17" t="s">
        <v>229</v>
      </c>
      <c r="I42" s="18" t="n">
        <v>46304.4201388889</v>
      </c>
      <c r="J42" s="18" t="n">
        <v>46304.4340277778</v>
      </c>
      <c r="K42" s="17" t="s">
        <v>44</v>
      </c>
      <c r="L42" s="17" t="s">
        <v>236</v>
      </c>
      <c r="M42" s="17" t="s">
        <v>231</v>
      </c>
      <c r="N42" s="17" t="n">
        <v>46</v>
      </c>
      <c r="O42" s="17"/>
      <c r="P42" s="17"/>
      <c r="Q42" s="17"/>
      <c r="R42" s="17"/>
      <c r="S42" s="17" t="n">
        <v>26.5</v>
      </c>
      <c r="T42" s="19" t="str">
        <f aca="false">IF(AND(ISNUMBER(S42),S42&lt;='Baca Dulu'!$B$14),"Valid","Invalid")</f>
        <v>Valid</v>
      </c>
      <c r="U42" s="19" t="str">
        <f aca="false">IF(T42="Invalid","Invalid",IF(OR(AND(ISNUMBER(O42),O42&lt;'Baca Dulu'!$B$13),AND(ISNUMBER(P42),P42&lt;'Baca Dulu'!$B$13)),"Positif 16/18",IF(OR(AND(ISNUMBER(Q42),Q42&lt;'Baca Dulu'!$B$13),AND(ISNUMBER(R42),R42&lt;'Baca Dulu'!$B$13)),"Positif lain","Negatif")))</f>
        <v>Negatif</v>
      </c>
      <c r="V42" s="17" t="s">
        <v>232</v>
      </c>
      <c r="W42" s="17"/>
      <c r="X42" s="17"/>
      <c r="Y42" s="19" t="str">
        <f aca="false">IF(V42="Dikirim",IF(X42-W42&lt;='Baca Dulu'!$B$15,"Ya","Tidak"),"")</f>
        <v/>
      </c>
      <c r="Z42" s="17"/>
      <c r="AA42" s="17"/>
      <c r="AB42" s="17"/>
    </row>
    <row r="43" customFormat="false" ht="15" hidden="false" customHeight="true" outlineLevel="0" collapsed="false">
      <c r="A43" s="17" t="s">
        <v>368</v>
      </c>
      <c r="B43" s="17" t="s">
        <v>369</v>
      </c>
      <c r="C43" s="17" t="s">
        <v>370</v>
      </c>
      <c r="D43" s="17" t="n">
        <v>61</v>
      </c>
      <c r="E43" s="17" t="s">
        <v>241</v>
      </c>
      <c r="F43" s="17" t="s">
        <v>97</v>
      </c>
      <c r="G43" s="17" t="s">
        <v>97</v>
      </c>
      <c r="H43" s="17" t="s">
        <v>229</v>
      </c>
      <c r="I43" s="18" t="n">
        <v>46308.7951388889</v>
      </c>
      <c r="J43" s="18" t="n">
        <v>46308.8222222222</v>
      </c>
      <c r="K43" s="17" t="s">
        <v>44</v>
      </c>
      <c r="L43" s="17" t="s">
        <v>250</v>
      </c>
      <c r="M43" s="17" t="s">
        <v>237</v>
      </c>
      <c r="N43" s="17" t="n">
        <v>50</v>
      </c>
      <c r="O43" s="17"/>
      <c r="P43" s="17"/>
      <c r="Q43" s="17"/>
      <c r="R43" s="17"/>
      <c r="S43" s="17" t="n">
        <v>28.4</v>
      </c>
      <c r="T43" s="19" t="str">
        <f aca="false">IF(AND(ISNUMBER(S43),S43&lt;='Baca Dulu'!$B$14),"Valid","Invalid")</f>
        <v>Valid</v>
      </c>
      <c r="U43" s="19" t="str">
        <f aca="false">IF(T43="Invalid","Invalid",IF(OR(AND(ISNUMBER(O43),O43&lt;'Baca Dulu'!$B$13),AND(ISNUMBER(P43),P43&lt;'Baca Dulu'!$B$13)),"Positif 16/18",IF(OR(AND(ISNUMBER(Q43),Q43&lt;'Baca Dulu'!$B$13),AND(ISNUMBER(R43),R43&lt;'Baca Dulu'!$B$13)),"Positif lain","Negatif")))</f>
        <v>Negatif</v>
      </c>
      <c r="V43" s="17" t="s">
        <v>232</v>
      </c>
      <c r="W43" s="17"/>
      <c r="X43" s="17"/>
      <c r="Y43" s="19" t="str">
        <f aca="false">IF(V43="Dikirim",IF(X43-W43&lt;='Baca Dulu'!$B$15,"Ya","Tidak"),"")</f>
        <v/>
      </c>
      <c r="Z43" s="17"/>
      <c r="AA43" s="17"/>
      <c r="AB43" s="17"/>
    </row>
    <row r="44" customFormat="false" ht="15" hidden="false" customHeight="true" outlineLevel="0" collapsed="false">
      <c r="A44" s="17" t="s">
        <v>371</v>
      </c>
      <c r="B44" s="17" t="s">
        <v>372</v>
      </c>
      <c r="C44" s="17" t="s">
        <v>373</v>
      </c>
      <c r="D44" s="17" t="n">
        <v>61</v>
      </c>
      <c r="E44" s="17" t="s">
        <v>241</v>
      </c>
      <c r="F44" s="17" t="s">
        <v>97</v>
      </c>
      <c r="G44" s="17" t="s">
        <v>97</v>
      </c>
      <c r="H44" s="17" t="s">
        <v>229</v>
      </c>
      <c r="I44" s="18" t="n">
        <v>46309.7631944444</v>
      </c>
      <c r="J44" s="18" t="n">
        <v>46309.7840277778</v>
      </c>
      <c r="K44" s="17" t="s">
        <v>44</v>
      </c>
      <c r="L44" s="17" t="s">
        <v>250</v>
      </c>
      <c r="M44" s="17" t="s">
        <v>237</v>
      </c>
      <c r="N44" s="17" t="n">
        <v>46</v>
      </c>
      <c r="O44" s="17"/>
      <c r="P44" s="17"/>
      <c r="Q44" s="17"/>
      <c r="R44" s="17"/>
      <c r="S44" s="17" t="n">
        <v>23.2</v>
      </c>
      <c r="T44" s="19" t="str">
        <f aca="false">IF(AND(ISNUMBER(S44),S44&lt;='Baca Dulu'!$B$14),"Valid","Invalid")</f>
        <v>Valid</v>
      </c>
      <c r="U44" s="19" t="str">
        <f aca="false">IF(T44="Invalid","Invalid",IF(OR(AND(ISNUMBER(O44),O44&lt;'Baca Dulu'!$B$13),AND(ISNUMBER(P44),P44&lt;'Baca Dulu'!$B$13)),"Positif 16/18",IF(OR(AND(ISNUMBER(Q44),Q44&lt;'Baca Dulu'!$B$13),AND(ISNUMBER(R44),R44&lt;'Baca Dulu'!$B$13)),"Positif lain","Negatif")))</f>
        <v>Negatif</v>
      </c>
      <c r="V44" s="17" t="s">
        <v>232</v>
      </c>
      <c r="W44" s="17"/>
      <c r="X44" s="17"/>
      <c r="Y44" s="19" t="str">
        <f aca="false">IF(V44="Dikirim",IF(X44-W44&lt;='Baca Dulu'!$B$15,"Ya","Tidak"),"")</f>
        <v/>
      </c>
      <c r="Z44" s="17"/>
      <c r="AA44" s="17"/>
      <c r="AB44" s="17"/>
    </row>
    <row r="45" customFormat="false" ht="15" hidden="false" customHeight="true" outlineLevel="0" collapsed="false">
      <c r="A45" s="17" t="s">
        <v>374</v>
      </c>
      <c r="B45" s="17" t="s">
        <v>375</v>
      </c>
      <c r="C45" s="17" t="s">
        <v>376</v>
      </c>
      <c r="D45" s="17" t="n">
        <v>53</v>
      </c>
      <c r="E45" s="17" t="s">
        <v>246</v>
      </c>
      <c r="F45" s="17" t="s">
        <v>228</v>
      </c>
      <c r="G45" s="17" t="s">
        <v>97</v>
      </c>
      <c r="H45" s="17" t="s">
        <v>229</v>
      </c>
      <c r="I45" s="18" t="n">
        <v>46309.4569444444</v>
      </c>
      <c r="J45" s="18" t="n">
        <v>46309.4729166667</v>
      </c>
      <c r="K45" s="17" t="s">
        <v>44</v>
      </c>
      <c r="L45" s="17" t="s">
        <v>242</v>
      </c>
      <c r="M45" s="17" t="s">
        <v>237</v>
      </c>
      <c r="N45" s="17" t="n">
        <v>44</v>
      </c>
      <c r="O45" s="17"/>
      <c r="P45" s="17"/>
      <c r="Q45" s="17"/>
      <c r="R45" s="17"/>
      <c r="S45" s="17" t="n">
        <v>24.7</v>
      </c>
      <c r="T45" s="19" t="str">
        <f aca="false">IF(AND(ISNUMBER(S45),S45&lt;='Baca Dulu'!$B$14),"Valid","Invalid")</f>
        <v>Valid</v>
      </c>
      <c r="U45" s="19" t="str">
        <f aca="false">IF(T45="Invalid","Invalid",IF(OR(AND(ISNUMBER(O45),O45&lt;'Baca Dulu'!$B$13),AND(ISNUMBER(P45),P45&lt;'Baca Dulu'!$B$13)),"Positif 16/18",IF(OR(AND(ISNUMBER(Q45),Q45&lt;'Baca Dulu'!$B$13),AND(ISNUMBER(R45),R45&lt;'Baca Dulu'!$B$13)),"Positif lain","Negatif")))</f>
        <v>Negatif</v>
      </c>
      <c r="V45" s="17" t="s">
        <v>232</v>
      </c>
      <c r="W45" s="17"/>
      <c r="X45" s="17"/>
      <c r="Y45" s="19" t="str">
        <f aca="false">IF(V45="Dikirim",IF(X45-W45&lt;='Baca Dulu'!$B$15,"Ya","Tidak"),"")</f>
        <v/>
      </c>
      <c r="Z45" s="17"/>
      <c r="AA45" s="17"/>
      <c r="AB45" s="17"/>
    </row>
    <row r="46" customFormat="false" ht="15" hidden="false" customHeight="true" outlineLevel="0" collapsed="false">
      <c r="A46" s="17" t="s">
        <v>377</v>
      </c>
      <c r="B46" s="17" t="s">
        <v>378</v>
      </c>
      <c r="C46" s="17" t="s">
        <v>379</v>
      </c>
      <c r="D46" s="17" t="n">
        <v>56</v>
      </c>
      <c r="E46" s="17" t="s">
        <v>241</v>
      </c>
      <c r="F46" s="17" t="s">
        <v>44</v>
      </c>
      <c r="G46" s="17" t="s">
        <v>97</v>
      </c>
      <c r="H46" s="17" t="s">
        <v>229</v>
      </c>
      <c r="I46" s="18" t="n">
        <v>46307.6145833333</v>
      </c>
      <c r="J46" s="18" t="n">
        <v>46307.6236111111</v>
      </c>
      <c r="K46" s="17" t="s">
        <v>44</v>
      </c>
      <c r="L46" s="17" t="s">
        <v>230</v>
      </c>
      <c r="M46" s="17" t="s">
        <v>237</v>
      </c>
      <c r="N46" s="17" t="n">
        <v>44</v>
      </c>
      <c r="O46" s="17"/>
      <c r="P46" s="17" t="n">
        <v>25.3</v>
      </c>
      <c r="Q46" s="17"/>
      <c r="R46" s="17"/>
      <c r="S46" s="17" t="n">
        <v>26.4</v>
      </c>
      <c r="T46" s="19" t="str">
        <f aca="false">IF(AND(ISNUMBER(S46),S46&lt;='Baca Dulu'!$B$14),"Valid","Invalid")</f>
        <v>Valid</v>
      </c>
      <c r="U46" s="19" t="str">
        <f aca="false">IF(T46="Invalid","Invalid",IF(OR(AND(ISNUMBER(O46),O46&lt;'Baca Dulu'!$B$13),AND(ISNUMBER(P46),P46&lt;'Baca Dulu'!$B$13)),"Positif 16/18",IF(OR(AND(ISNUMBER(Q46),Q46&lt;'Baca Dulu'!$B$13),AND(ISNUMBER(R46),R46&lt;'Baca Dulu'!$B$13)),"Positif lain","Negatif")))</f>
        <v>Positif 16/18</v>
      </c>
      <c r="V46" s="17" t="s">
        <v>261</v>
      </c>
      <c r="W46" s="20" t="n">
        <v>46308</v>
      </c>
      <c r="X46" s="20" t="n">
        <v>46311</v>
      </c>
      <c r="Y46" s="19" t="str">
        <f aca="false">IF(V46="Dikirim",IF(X46-W46&lt;='Baca Dulu'!$B$15,"Ya","Tidak"),"")</f>
        <v>Ya</v>
      </c>
      <c r="Z46" s="17" t="s">
        <v>291</v>
      </c>
      <c r="AA46" s="17" t="s">
        <v>263</v>
      </c>
      <c r="AB46" s="17" t="s">
        <v>264</v>
      </c>
    </row>
    <row r="47" customFormat="false" ht="15" hidden="false" customHeight="true" outlineLevel="0" collapsed="false">
      <c r="A47" s="17" t="s">
        <v>380</v>
      </c>
      <c r="B47" s="17" t="s">
        <v>381</v>
      </c>
      <c r="C47" s="17" t="s">
        <v>382</v>
      </c>
      <c r="D47" s="17" t="n">
        <v>48</v>
      </c>
      <c r="E47" s="17" t="s">
        <v>260</v>
      </c>
      <c r="F47" s="17" t="s">
        <v>97</v>
      </c>
      <c r="G47" s="17" t="s">
        <v>97</v>
      </c>
      <c r="H47" s="17" t="s">
        <v>229</v>
      </c>
      <c r="I47" s="18" t="n">
        <v>46302.4145833333</v>
      </c>
      <c r="J47" s="18" t="n">
        <v>46302.43125</v>
      </c>
      <c r="K47" s="17" t="s">
        <v>44</v>
      </c>
      <c r="L47" s="17" t="s">
        <v>242</v>
      </c>
      <c r="M47" s="17" t="s">
        <v>237</v>
      </c>
      <c r="N47" s="17" t="n">
        <v>44</v>
      </c>
      <c r="O47" s="17"/>
      <c r="P47" s="17"/>
      <c r="Q47" s="17"/>
      <c r="R47" s="17"/>
      <c r="S47" s="17" t="n">
        <v>27.8</v>
      </c>
      <c r="T47" s="19" t="str">
        <f aca="false">IF(AND(ISNUMBER(S47),S47&lt;='Baca Dulu'!$B$14),"Valid","Invalid")</f>
        <v>Valid</v>
      </c>
      <c r="U47" s="19" t="str">
        <f aca="false">IF(T47="Invalid","Invalid",IF(OR(AND(ISNUMBER(O47),O47&lt;'Baca Dulu'!$B$13),AND(ISNUMBER(P47),P47&lt;'Baca Dulu'!$B$13)),"Positif 16/18",IF(OR(AND(ISNUMBER(Q47),Q47&lt;'Baca Dulu'!$B$13),AND(ISNUMBER(R47),R47&lt;'Baca Dulu'!$B$13)),"Positif lain","Negatif")))</f>
        <v>Negatif</v>
      </c>
      <c r="V47" s="17" t="s">
        <v>232</v>
      </c>
      <c r="W47" s="17"/>
      <c r="X47" s="17"/>
      <c r="Y47" s="19" t="str">
        <f aca="false">IF(V47="Dikirim",IF(X47-W47&lt;='Baca Dulu'!$B$15,"Ya","Tidak"),"")</f>
        <v/>
      </c>
      <c r="Z47" s="17"/>
      <c r="AA47" s="17"/>
      <c r="AB47" s="17"/>
    </row>
    <row r="48" customFormat="false" ht="15" hidden="false" customHeight="true" outlineLevel="0" collapsed="false">
      <c r="A48" s="17" t="s">
        <v>383</v>
      </c>
      <c r="B48" s="17" t="s">
        <v>384</v>
      </c>
      <c r="C48" s="17" t="s">
        <v>385</v>
      </c>
      <c r="D48" s="17" t="n">
        <v>53</v>
      </c>
      <c r="E48" s="17" t="s">
        <v>241</v>
      </c>
      <c r="F48" s="17" t="s">
        <v>97</v>
      </c>
      <c r="G48" s="17" t="s">
        <v>97</v>
      </c>
      <c r="H48" s="17" t="s">
        <v>229</v>
      </c>
      <c r="I48" s="18" t="n">
        <v>46307.5625</v>
      </c>
      <c r="J48" s="18" t="n">
        <v>46307.5763888889</v>
      </c>
      <c r="K48" s="17" t="s">
        <v>44</v>
      </c>
      <c r="L48" s="17" t="s">
        <v>236</v>
      </c>
      <c r="M48" s="17" t="s">
        <v>237</v>
      </c>
      <c r="N48" s="17" t="n">
        <v>48</v>
      </c>
      <c r="O48" s="17"/>
      <c r="P48" s="17"/>
      <c r="Q48" s="17"/>
      <c r="R48" s="17"/>
      <c r="S48" s="17" t="n">
        <v>24.4</v>
      </c>
      <c r="T48" s="19" t="str">
        <f aca="false">IF(AND(ISNUMBER(S48),S48&lt;='Baca Dulu'!$B$14),"Valid","Invalid")</f>
        <v>Valid</v>
      </c>
      <c r="U48" s="19" t="str">
        <f aca="false">IF(T48="Invalid","Invalid",IF(OR(AND(ISNUMBER(O48),O48&lt;'Baca Dulu'!$B$13),AND(ISNUMBER(P48),P48&lt;'Baca Dulu'!$B$13)),"Positif 16/18",IF(OR(AND(ISNUMBER(Q48),Q48&lt;'Baca Dulu'!$B$13),AND(ISNUMBER(R48),R48&lt;'Baca Dulu'!$B$13)),"Positif lain","Negatif")))</f>
        <v>Negatif</v>
      </c>
      <c r="V48" s="17" t="s">
        <v>232</v>
      </c>
      <c r="W48" s="17"/>
      <c r="X48" s="17"/>
      <c r="Y48" s="19" t="str">
        <f aca="false">IF(V48="Dikirim",IF(X48-W48&lt;='Baca Dulu'!$B$15,"Ya","Tidak"),"")</f>
        <v/>
      </c>
      <c r="Z48" s="17"/>
      <c r="AA48" s="17"/>
      <c r="AB48" s="17"/>
    </row>
    <row r="49" customFormat="false" ht="15" hidden="false" customHeight="true" outlineLevel="0" collapsed="false">
      <c r="A49" s="17" t="s">
        <v>386</v>
      </c>
      <c r="B49" s="17" t="s">
        <v>387</v>
      </c>
      <c r="C49" s="17" t="s">
        <v>388</v>
      </c>
      <c r="D49" s="17" t="n">
        <v>53</v>
      </c>
      <c r="E49" s="17" t="s">
        <v>241</v>
      </c>
      <c r="F49" s="17" t="s">
        <v>44</v>
      </c>
      <c r="G49" s="17" t="s">
        <v>97</v>
      </c>
      <c r="H49" s="17" t="s">
        <v>229</v>
      </c>
      <c r="I49" s="18" t="n">
        <v>46303.5493055556</v>
      </c>
      <c r="J49" s="18" t="n">
        <v>46303.5659722222</v>
      </c>
      <c r="K49" s="17" t="s">
        <v>44</v>
      </c>
      <c r="L49" s="17" t="s">
        <v>242</v>
      </c>
      <c r="M49" s="17" t="s">
        <v>237</v>
      </c>
      <c r="N49" s="17" t="n">
        <v>48</v>
      </c>
      <c r="O49" s="17"/>
      <c r="P49" s="17"/>
      <c r="Q49" s="17"/>
      <c r="R49" s="17" t="n">
        <v>28.9</v>
      </c>
      <c r="S49" s="17" t="n">
        <v>26.3</v>
      </c>
      <c r="T49" s="19" t="str">
        <f aca="false">IF(AND(ISNUMBER(S49),S49&lt;='Baca Dulu'!$B$14),"Valid","Invalid")</f>
        <v>Valid</v>
      </c>
      <c r="U49" s="19" t="str">
        <f aca="false">IF(T49="Invalid","Invalid",IF(OR(AND(ISNUMBER(O49),O49&lt;'Baca Dulu'!$B$13),AND(ISNUMBER(P49),P49&lt;'Baca Dulu'!$B$13)),"Positif 16/18",IF(OR(AND(ISNUMBER(Q49),Q49&lt;'Baca Dulu'!$B$13),AND(ISNUMBER(R49),R49&lt;'Baca Dulu'!$B$13)),"Positif lain","Negatif")))</f>
        <v>Positif lain</v>
      </c>
      <c r="V49" s="17" t="s">
        <v>261</v>
      </c>
      <c r="W49" s="20" t="n">
        <v>46304</v>
      </c>
      <c r="X49" s="20" t="n">
        <v>46306</v>
      </c>
      <c r="Y49" s="19" t="str">
        <f aca="false">IF(V49="Dikirim",IF(X49-W49&lt;='Baca Dulu'!$B$15,"Ya","Tidak"),"")</f>
        <v>Ya</v>
      </c>
      <c r="Z49" s="17" t="s">
        <v>389</v>
      </c>
      <c r="AA49" s="17" t="s">
        <v>263</v>
      </c>
      <c r="AB49" s="17" t="s">
        <v>264</v>
      </c>
    </row>
    <row r="50" customFormat="false" ht="15" hidden="false" customHeight="true" outlineLevel="0" collapsed="false">
      <c r="A50" s="17" t="s">
        <v>390</v>
      </c>
      <c r="B50" s="17" t="s">
        <v>391</v>
      </c>
      <c r="C50" s="17" t="s">
        <v>392</v>
      </c>
      <c r="D50" s="17" t="n">
        <v>57</v>
      </c>
      <c r="E50" s="17" t="s">
        <v>260</v>
      </c>
      <c r="F50" s="17" t="s">
        <v>97</v>
      </c>
      <c r="G50" s="17" t="s">
        <v>97</v>
      </c>
      <c r="H50" s="17" t="s">
        <v>229</v>
      </c>
      <c r="I50" s="18" t="n">
        <v>46303.4145833333</v>
      </c>
      <c r="J50" s="18" t="n">
        <v>46303.4263888889</v>
      </c>
      <c r="K50" s="17" t="s">
        <v>44</v>
      </c>
      <c r="L50" s="17" t="s">
        <v>230</v>
      </c>
      <c r="M50" s="17" t="s">
        <v>237</v>
      </c>
      <c r="N50" s="17" t="n">
        <v>47</v>
      </c>
      <c r="O50" s="17"/>
      <c r="P50" s="17"/>
      <c r="Q50" s="17"/>
      <c r="R50" s="17"/>
      <c r="S50" s="17" t="n">
        <v>22.5</v>
      </c>
      <c r="T50" s="19" t="str">
        <f aca="false">IF(AND(ISNUMBER(S50),S50&lt;='Baca Dulu'!$B$14),"Valid","Invalid")</f>
        <v>Valid</v>
      </c>
      <c r="U50" s="19" t="str">
        <f aca="false">IF(T50="Invalid","Invalid",IF(OR(AND(ISNUMBER(O50),O50&lt;'Baca Dulu'!$B$13),AND(ISNUMBER(P50),P50&lt;'Baca Dulu'!$B$13)),"Positif 16/18",IF(OR(AND(ISNUMBER(Q50),Q50&lt;'Baca Dulu'!$B$13),AND(ISNUMBER(R50),R50&lt;'Baca Dulu'!$B$13)),"Positif lain","Negatif")))</f>
        <v>Negatif</v>
      </c>
      <c r="V50" s="17" t="s">
        <v>232</v>
      </c>
      <c r="W50" s="17"/>
      <c r="X50" s="17"/>
      <c r="Y50" s="19" t="str">
        <f aca="false">IF(V50="Dikirim",IF(X50-W50&lt;='Baca Dulu'!$B$15,"Ya","Tidak"),"")</f>
        <v/>
      </c>
      <c r="Z50" s="17"/>
      <c r="AA50" s="17"/>
      <c r="AB50" s="17"/>
    </row>
    <row r="51" customFormat="false" ht="15" hidden="false" customHeight="true" outlineLevel="0" collapsed="false">
      <c r="A51" s="17" t="s">
        <v>393</v>
      </c>
      <c r="B51" s="17" t="s">
        <v>394</v>
      </c>
      <c r="C51" s="17" t="s">
        <v>395</v>
      </c>
      <c r="D51" s="17" t="n">
        <v>62</v>
      </c>
      <c r="E51" s="17" t="s">
        <v>241</v>
      </c>
      <c r="F51" s="17" t="s">
        <v>228</v>
      </c>
      <c r="G51" s="17" t="s">
        <v>97</v>
      </c>
      <c r="H51" s="17" t="s">
        <v>229</v>
      </c>
      <c r="I51" s="18" t="n">
        <v>46300.8201388889</v>
      </c>
      <c r="J51" s="18" t="n">
        <v>46300.8368055556</v>
      </c>
      <c r="K51" s="17" t="s">
        <v>44</v>
      </c>
      <c r="L51" s="17" t="s">
        <v>236</v>
      </c>
      <c r="M51" s="17" t="s">
        <v>237</v>
      </c>
      <c r="N51" s="17" t="n">
        <v>49</v>
      </c>
      <c r="O51" s="17"/>
      <c r="P51" s="17"/>
      <c r="Q51" s="17"/>
      <c r="R51" s="17"/>
      <c r="S51" s="17" t="n">
        <v>29.2</v>
      </c>
      <c r="T51" s="19" t="str">
        <f aca="false">IF(AND(ISNUMBER(S51),S51&lt;='Baca Dulu'!$B$14),"Valid","Invalid")</f>
        <v>Valid</v>
      </c>
      <c r="U51" s="19" t="str">
        <f aca="false">IF(T51="Invalid","Invalid",IF(OR(AND(ISNUMBER(O51),O51&lt;'Baca Dulu'!$B$13),AND(ISNUMBER(P51),P51&lt;'Baca Dulu'!$B$13)),"Positif 16/18",IF(OR(AND(ISNUMBER(Q51),Q51&lt;'Baca Dulu'!$B$13),AND(ISNUMBER(R51),R51&lt;'Baca Dulu'!$B$13)),"Positif lain","Negatif")))</f>
        <v>Negatif</v>
      </c>
      <c r="V51" s="17" t="s">
        <v>232</v>
      </c>
      <c r="W51" s="17"/>
      <c r="X51" s="17"/>
      <c r="Y51" s="19" t="str">
        <f aca="false">IF(V51="Dikirim",IF(X51-W51&lt;='Baca Dulu'!$B$15,"Ya","Tidak"),"")</f>
        <v/>
      </c>
      <c r="Z51" s="17"/>
      <c r="AA51" s="17"/>
      <c r="AB51" s="17"/>
    </row>
    <row r="52" customFormat="false" ht="15" hidden="false" customHeight="true" outlineLevel="0" collapsed="false">
      <c r="A52" s="17" t="s">
        <v>396</v>
      </c>
      <c r="B52" s="17" t="s">
        <v>397</v>
      </c>
      <c r="C52" s="17" t="s">
        <v>398</v>
      </c>
      <c r="D52" s="17" t="n">
        <v>51</v>
      </c>
      <c r="E52" s="17" t="s">
        <v>241</v>
      </c>
      <c r="F52" s="17" t="s">
        <v>228</v>
      </c>
      <c r="G52" s="17" t="s">
        <v>97</v>
      </c>
      <c r="H52" s="17" t="s">
        <v>229</v>
      </c>
      <c r="I52" s="18" t="n">
        <v>46302.5416666667</v>
      </c>
      <c r="J52" s="18" t="n">
        <v>46302.5645833333</v>
      </c>
      <c r="K52" s="17" t="s">
        <v>44</v>
      </c>
      <c r="L52" s="17" t="s">
        <v>230</v>
      </c>
      <c r="M52" s="17" t="s">
        <v>237</v>
      </c>
      <c r="N52" s="17" t="n">
        <v>52</v>
      </c>
      <c r="O52" s="17"/>
      <c r="P52" s="17"/>
      <c r="Q52" s="17"/>
      <c r="R52" s="17"/>
      <c r="S52" s="17" t="n">
        <v>23.3</v>
      </c>
      <c r="T52" s="19" t="str">
        <f aca="false">IF(AND(ISNUMBER(S52),S52&lt;='Baca Dulu'!$B$14),"Valid","Invalid")</f>
        <v>Valid</v>
      </c>
      <c r="U52" s="19" t="str">
        <f aca="false">IF(T52="Invalid","Invalid",IF(OR(AND(ISNUMBER(O52),O52&lt;'Baca Dulu'!$B$13),AND(ISNUMBER(P52),P52&lt;'Baca Dulu'!$B$13)),"Positif 16/18",IF(OR(AND(ISNUMBER(Q52),Q52&lt;'Baca Dulu'!$B$13),AND(ISNUMBER(R52),R52&lt;'Baca Dulu'!$B$13)),"Positif lain","Negatif")))</f>
        <v>Negatif</v>
      </c>
      <c r="V52" s="17" t="s">
        <v>232</v>
      </c>
      <c r="W52" s="17"/>
      <c r="X52" s="17"/>
      <c r="Y52" s="19" t="str">
        <f aca="false">IF(V52="Dikirim",IF(X52-W52&lt;='Baca Dulu'!$B$15,"Ya","Tidak"),"")</f>
        <v/>
      </c>
      <c r="Z52" s="17"/>
      <c r="AA52" s="17"/>
      <c r="AB52" s="17"/>
    </row>
    <row r="53" customFormat="false" ht="15" hidden="false" customHeight="true" outlineLevel="0" collapsed="false">
      <c r="A53" s="17" t="s">
        <v>399</v>
      </c>
      <c r="B53" s="17" t="s">
        <v>400</v>
      </c>
      <c r="C53" s="17" t="s">
        <v>401</v>
      </c>
      <c r="D53" s="17" t="n">
        <v>47</v>
      </c>
      <c r="E53" s="17" t="s">
        <v>246</v>
      </c>
      <c r="F53" s="17" t="s">
        <v>97</v>
      </c>
      <c r="G53" s="17" t="s">
        <v>97</v>
      </c>
      <c r="H53" s="17" t="s">
        <v>229</v>
      </c>
      <c r="I53" s="18" t="n">
        <v>46306.5951388889</v>
      </c>
      <c r="J53" s="18" t="n">
        <v>46306.5979166667</v>
      </c>
      <c r="K53" s="17" t="s">
        <v>44</v>
      </c>
      <c r="L53" s="17" t="s">
        <v>250</v>
      </c>
      <c r="M53" s="17" t="s">
        <v>237</v>
      </c>
      <c r="N53" s="17" t="n">
        <v>38</v>
      </c>
      <c r="O53" s="17"/>
      <c r="P53" s="17"/>
      <c r="Q53" s="17"/>
      <c r="R53" s="17"/>
      <c r="S53" s="17" t="n">
        <v>25.9</v>
      </c>
      <c r="T53" s="19" t="str">
        <f aca="false">IF(AND(ISNUMBER(S53),S53&lt;='Baca Dulu'!$B$14),"Valid","Invalid")</f>
        <v>Valid</v>
      </c>
      <c r="U53" s="19" t="str">
        <f aca="false">IF(T53="Invalid","Invalid",IF(OR(AND(ISNUMBER(O53),O53&lt;'Baca Dulu'!$B$13),AND(ISNUMBER(P53),P53&lt;'Baca Dulu'!$B$13)),"Positif 16/18",IF(OR(AND(ISNUMBER(Q53),Q53&lt;'Baca Dulu'!$B$13),AND(ISNUMBER(R53),R53&lt;'Baca Dulu'!$B$13)),"Positif lain","Negatif")))</f>
        <v>Negatif</v>
      </c>
      <c r="V53" s="17" t="s">
        <v>232</v>
      </c>
      <c r="W53" s="17"/>
      <c r="X53" s="17"/>
      <c r="Y53" s="19" t="str">
        <f aca="false">IF(V53="Dikirim",IF(X53-W53&lt;='Baca Dulu'!$B$15,"Ya","Tidak"),"")</f>
        <v/>
      </c>
      <c r="Z53" s="17"/>
      <c r="AA53" s="17"/>
      <c r="AB53" s="17"/>
    </row>
    <row r="54" customFormat="false" ht="15" hidden="false" customHeight="true" outlineLevel="0" collapsed="false">
      <c r="A54" s="17" t="s">
        <v>402</v>
      </c>
      <c r="B54" s="17" t="s">
        <v>403</v>
      </c>
      <c r="C54" s="17" t="s">
        <v>404</v>
      </c>
      <c r="D54" s="17" t="n">
        <v>41</v>
      </c>
      <c r="E54" s="17" t="s">
        <v>241</v>
      </c>
      <c r="F54" s="17" t="s">
        <v>228</v>
      </c>
      <c r="G54" s="17" t="s">
        <v>97</v>
      </c>
      <c r="H54" s="17" t="s">
        <v>229</v>
      </c>
      <c r="I54" s="18" t="n">
        <v>46308.6868055556</v>
      </c>
      <c r="J54" s="18" t="n">
        <v>46308.7131944444</v>
      </c>
      <c r="K54" s="17" t="s">
        <v>44</v>
      </c>
      <c r="L54" s="17" t="s">
        <v>242</v>
      </c>
      <c r="M54" s="17" t="s">
        <v>231</v>
      </c>
      <c r="N54" s="17" t="n">
        <v>44</v>
      </c>
      <c r="O54" s="17"/>
      <c r="P54" s="17"/>
      <c r="Q54" s="17"/>
      <c r="R54" s="17"/>
      <c r="S54" s="17" t="n">
        <v>29.9</v>
      </c>
      <c r="T54" s="19" t="str">
        <f aca="false">IF(AND(ISNUMBER(S54),S54&lt;='Baca Dulu'!$B$14),"Valid","Invalid")</f>
        <v>Valid</v>
      </c>
      <c r="U54" s="19" t="str">
        <f aca="false">IF(T54="Invalid","Invalid",IF(OR(AND(ISNUMBER(O54),O54&lt;'Baca Dulu'!$B$13),AND(ISNUMBER(P54),P54&lt;'Baca Dulu'!$B$13)),"Positif 16/18",IF(OR(AND(ISNUMBER(Q54),Q54&lt;'Baca Dulu'!$B$13),AND(ISNUMBER(R54),R54&lt;'Baca Dulu'!$B$13)),"Positif lain","Negatif")))</f>
        <v>Negatif</v>
      </c>
      <c r="V54" s="17" t="s">
        <v>232</v>
      </c>
      <c r="W54" s="17"/>
      <c r="X54" s="17"/>
      <c r="Y54" s="19" t="str">
        <f aca="false">IF(V54="Dikirim",IF(X54-W54&lt;='Baca Dulu'!$B$15,"Ya","Tidak"),"")</f>
        <v/>
      </c>
      <c r="Z54" s="17"/>
      <c r="AA54" s="17"/>
      <c r="AB54" s="17"/>
    </row>
    <row r="55" customFormat="false" ht="15" hidden="false" customHeight="true" outlineLevel="0" collapsed="false">
      <c r="A55" s="17" t="s">
        <v>405</v>
      </c>
      <c r="B55" s="17" t="s">
        <v>406</v>
      </c>
      <c r="C55" s="17" t="s">
        <v>407</v>
      </c>
      <c r="D55" s="17" t="n">
        <v>62</v>
      </c>
      <c r="E55" s="17" t="s">
        <v>241</v>
      </c>
      <c r="F55" s="17" t="s">
        <v>97</v>
      </c>
      <c r="G55" s="17" t="s">
        <v>97</v>
      </c>
      <c r="H55" s="17" t="s">
        <v>229</v>
      </c>
      <c r="I55" s="18" t="n">
        <v>46309.7791666667</v>
      </c>
      <c r="J55" s="18" t="n">
        <v>46309.7861111111</v>
      </c>
      <c r="K55" s="17" t="s">
        <v>44</v>
      </c>
      <c r="L55" s="17" t="s">
        <v>250</v>
      </c>
      <c r="M55" s="17" t="s">
        <v>237</v>
      </c>
      <c r="N55" s="17" t="n">
        <v>45</v>
      </c>
      <c r="O55" s="17"/>
      <c r="P55" s="17"/>
      <c r="Q55" s="17"/>
      <c r="R55" s="17" t="n">
        <v>25.3</v>
      </c>
      <c r="S55" s="17" t="n">
        <v>26.4</v>
      </c>
      <c r="T55" s="19" t="str">
        <f aca="false">IF(AND(ISNUMBER(S55),S55&lt;='Baca Dulu'!$B$14),"Valid","Invalid")</f>
        <v>Valid</v>
      </c>
      <c r="U55" s="19" t="str">
        <f aca="false">IF(T55="Invalid","Invalid",IF(OR(AND(ISNUMBER(O55),O55&lt;'Baca Dulu'!$B$13),AND(ISNUMBER(P55),P55&lt;'Baca Dulu'!$B$13)),"Positif 16/18",IF(OR(AND(ISNUMBER(Q55),Q55&lt;'Baca Dulu'!$B$13),AND(ISNUMBER(R55),R55&lt;'Baca Dulu'!$B$13)),"Positif lain","Negatif")))</f>
        <v>Positif lain</v>
      </c>
      <c r="V55" s="17" t="s">
        <v>261</v>
      </c>
      <c r="W55" s="20" t="n">
        <v>46310</v>
      </c>
      <c r="X55" s="20" t="n">
        <v>46313</v>
      </c>
      <c r="Y55" s="19" t="str">
        <f aca="false">IF(V55="Dikirim",IF(X55-W55&lt;='Baca Dulu'!$B$15,"Ya","Tidak"),"")</f>
        <v>Ya</v>
      </c>
      <c r="Z55" s="17" t="s">
        <v>408</v>
      </c>
      <c r="AA55" s="17" t="s">
        <v>263</v>
      </c>
      <c r="AB55" s="17" t="s">
        <v>264</v>
      </c>
    </row>
    <row r="56" customFormat="false" ht="15" hidden="false" customHeight="true" outlineLevel="0" collapsed="false">
      <c r="A56" s="17" t="s">
        <v>409</v>
      </c>
      <c r="B56" s="17" t="s">
        <v>410</v>
      </c>
      <c r="C56" s="17" t="s">
        <v>411</v>
      </c>
      <c r="D56" s="17" t="n">
        <v>52</v>
      </c>
      <c r="E56" s="17" t="s">
        <v>246</v>
      </c>
      <c r="F56" s="17" t="s">
        <v>97</v>
      </c>
      <c r="G56" s="17" t="s">
        <v>97</v>
      </c>
      <c r="H56" s="17" t="s">
        <v>229</v>
      </c>
      <c r="I56" s="18" t="n">
        <v>46307.6736111111</v>
      </c>
      <c r="J56" s="18" t="n">
        <v>46307.6930555556</v>
      </c>
      <c r="K56" s="17" t="s">
        <v>44</v>
      </c>
      <c r="L56" s="17" t="s">
        <v>236</v>
      </c>
      <c r="M56" s="17" t="s">
        <v>237</v>
      </c>
      <c r="N56" s="17" t="n">
        <v>40</v>
      </c>
      <c r="O56" s="17"/>
      <c r="P56" s="17"/>
      <c r="Q56" s="17"/>
      <c r="R56" s="17"/>
      <c r="S56" s="17" t="n">
        <v>26</v>
      </c>
      <c r="T56" s="19" t="str">
        <f aca="false">IF(AND(ISNUMBER(S56),S56&lt;='Baca Dulu'!$B$14),"Valid","Invalid")</f>
        <v>Valid</v>
      </c>
      <c r="U56" s="19" t="str">
        <f aca="false">IF(T56="Invalid","Invalid",IF(OR(AND(ISNUMBER(O56),O56&lt;'Baca Dulu'!$B$13),AND(ISNUMBER(P56),P56&lt;'Baca Dulu'!$B$13)),"Positif 16/18",IF(OR(AND(ISNUMBER(Q56),Q56&lt;'Baca Dulu'!$B$13),AND(ISNUMBER(R56),R56&lt;'Baca Dulu'!$B$13)),"Positif lain","Negatif")))</f>
        <v>Negatif</v>
      </c>
      <c r="V56" s="17" t="s">
        <v>232</v>
      </c>
      <c r="W56" s="17"/>
      <c r="X56" s="17"/>
      <c r="Y56" s="19" t="str">
        <f aca="false">IF(V56="Dikirim",IF(X56-W56&lt;='Baca Dulu'!$B$15,"Ya","Tidak"),"")</f>
        <v/>
      </c>
      <c r="Z56" s="17"/>
      <c r="AA56" s="17"/>
      <c r="AB56" s="17"/>
    </row>
    <row r="57" customFormat="false" ht="15" hidden="false" customHeight="true" outlineLevel="0" collapsed="false">
      <c r="A57" s="17" t="s">
        <v>412</v>
      </c>
      <c r="B57" s="17" t="s">
        <v>413</v>
      </c>
      <c r="C57" s="17" t="s">
        <v>414</v>
      </c>
      <c r="D57" s="17" t="n">
        <v>63</v>
      </c>
      <c r="E57" s="17" t="s">
        <v>241</v>
      </c>
      <c r="F57" s="17" t="s">
        <v>44</v>
      </c>
      <c r="G57" s="17" t="s">
        <v>97</v>
      </c>
      <c r="H57" s="17" t="s">
        <v>229</v>
      </c>
      <c r="I57" s="18" t="n">
        <v>46303.4298611111</v>
      </c>
      <c r="J57" s="18" t="n">
        <v>46303.4520833333</v>
      </c>
      <c r="K57" s="17" t="s">
        <v>97</v>
      </c>
      <c r="L57" s="17" t="s">
        <v>242</v>
      </c>
      <c r="M57" s="17" t="s">
        <v>231</v>
      </c>
      <c r="N57" s="17" t="n">
        <v>49</v>
      </c>
      <c r="O57" s="17"/>
      <c r="P57" s="17"/>
      <c r="Q57" s="17" t="n">
        <v>27.1</v>
      </c>
      <c r="R57" s="17"/>
      <c r="S57" s="17" t="n">
        <v>25.2</v>
      </c>
      <c r="T57" s="19" t="str">
        <f aca="false">IF(AND(ISNUMBER(S57),S57&lt;='Baca Dulu'!$B$14),"Valid","Invalid")</f>
        <v>Valid</v>
      </c>
      <c r="U57" s="19" t="str">
        <f aca="false">IF(T57="Invalid","Invalid",IF(OR(AND(ISNUMBER(O57),O57&lt;'Baca Dulu'!$B$13),AND(ISNUMBER(P57),P57&lt;'Baca Dulu'!$B$13)),"Positif 16/18",IF(OR(AND(ISNUMBER(Q57),Q57&lt;'Baca Dulu'!$B$13),AND(ISNUMBER(R57),R57&lt;'Baca Dulu'!$B$13)),"Positif lain","Negatif")))</f>
        <v>Positif lain</v>
      </c>
      <c r="V57" s="17" t="s">
        <v>261</v>
      </c>
      <c r="W57" s="20" t="n">
        <v>46304</v>
      </c>
      <c r="X57" s="20" t="n">
        <v>46313</v>
      </c>
      <c r="Y57" s="19" t="str">
        <f aca="false">IF(V57="Dikirim",IF(X57-W57&lt;='Baca Dulu'!$B$15,"Ya","Tidak"),"")</f>
        <v>Tidak</v>
      </c>
      <c r="Z57" s="17" t="s">
        <v>262</v>
      </c>
      <c r="AA57" s="17" t="s">
        <v>284</v>
      </c>
      <c r="AB57" s="17" t="s">
        <v>264</v>
      </c>
    </row>
    <row r="58" customFormat="false" ht="15" hidden="false" customHeight="true" outlineLevel="0" collapsed="false">
      <c r="A58" s="17" t="s">
        <v>415</v>
      </c>
      <c r="B58" s="17" t="s">
        <v>416</v>
      </c>
      <c r="C58" s="17" t="s">
        <v>417</v>
      </c>
      <c r="D58" s="17" t="n">
        <v>42</v>
      </c>
      <c r="E58" s="17" t="s">
        <v>241</v>
      </c>
      <c r="F58" s="17" t="s">
        <v>44</v>
      </c>
      <c r="G58" s="17" t="s">
        <v>97</v>
      </c>
      <c r="H58" s="17" t="s">
        <v>229</v>
      </c>
      <c r="I58" s="18" t="n">
        <v>46303.6840277778</v>
      </c>
      <c r="J58" s="18" t="n">
        <v>46303.7111111111</v>
      </c>
      <c r="K58" s="17" t="s">
        <v>44</v>
      </c>
      <c r="L58" s="17" t="s">
        <v>242</v>
      </c>
      <c r="M58" s="17" t="s">
        <v>237</v>
      </c>
      <c r="N58" s="17" t="n">
        <v>41</v>
      </c>
      <c r="O58" s="17"/>
      <c r="P58" s="17"/>
      <c r="Q58" s="17"/>
      <c r="R58" s="17"/>
      <c r="S58" s="17" t="n">
        <v>25.8</v>
      </c>
      <c r="T58" s="19" t="str">
        <f aca="false">IF(AND(ISNUMBER(S58),S58&lt;='Baca Dulu'!$B$14),"Valid","Invalid")</f>
        <v>Valid</v>
      </c>
      <c r="U58" s="19" t="str">
        <f aca="false">IF(T58="Invalid","Invalid",IF(OR(AND(ISNUMBER(O58),O58&lt;'Baca Dulu'!$B$13),AND(ISNUMBER(P58),P58&lt;'Baca Dulu'!$B$13)),"Positif 16/18",IF(OR(AND(ISNUMBER(Q58),Q58&lt;'Baca Dulu'!$B$13),AND(ISNUMBER(R58),R58&lt;'Baca Dulu'!$B$13)),"Positif lain","Negatif")))</f>
        <v>Negatif</v>
      </c>
      <c r="V58" s="17" t="s">
        <v>232</v>
      </c>
      <c r="W58" s="17"/>
      <c r="X58" s="17"/>
      <c r="Y58" s="19" t="str">
        <f aca="false">IF(V58="Dikirim",IF(X58-W58&lt;='Baca Dulu'!$B$15,"Ya","Tidak"),"")</f>
        <v/>
      </c>
      <c r="Z58" s="17"/>
      <c r="AA58" s="17"/>
      <c r="AB58" s="17"/>
    </row>
    <row r="59" customFormat="false" ht="15" hidden="false" customHeight="true" outlineLevel="0" collapsed="false">
      <c r="A59" s="17" t="s">
        <v>418</v>
      </c>
      <c r="B59" s="17" t="s">
        <v>419</v>
      </c>
      <c r="C59" s="17" t="s">
        <v>420</v>
      </c>
      <c r="D59" s="17" t="n">
        <v>39</v>
      </c>
      <c r="E59" s="17" t="s">
        <v>241</v>
      </c>
      <c r="F59" s="17" t="s">
        <v>228</v>
      </c>
      <c r="G59" s="17" t="s">
        <v>97</v>
      </c>
      <c r="H59" s="17" t="s">
        <v>229</v>
      </c>
      <c r="I59" s="18" t="n">
        <v>46304.7840277778</v>
      </c>
      <c r="J59" s="18" t="n">
        <v>46304.7923611111</v>
      </c>
      <c r="K59" s="17" t="s">
        <v>44</v>
      </c>
      <c r="L59" s="17" t="s">
        <v>230</v>
      </c>
      <c r="M59" s="17" t="s">
        <v>231</v>
      </c>
      <c r="N59" s="17" t="n">
        <v>45</v>
      </c>
      <c r="O59" s="17"/>
      <c r="P59" s="17"/>
      <c r="Q59" s="17"/>
      <c r="R59" s="17"/>
      <c r="S59" s="17" t="n">
        <v>29.2</v>
      </c>
      <c r="T59" s="19" t="str">
        <f aca="false">IF(AND(ISNUMBER(S59),S59&lt;='Baca Dulu'!$B$14),"Valid","Invalid")</f>
        <v>Valid</v>
      </c>
      <c r="U59" s="19" t="str">
        <f aca="false">IF(T59="Invalid","Invalid",IF(OR(AND(ISNUMBER(O59),O59&lt;'Baca Dulu'!$B$13),AND(ISNUMBER(P59),P59&lt;'Baca Dulu'!$B$13)),"Positif 16/18",IF(OR(AND(ISNUMBER(Q59),Q59&lt;'Baca Dulu'!$B$13),AND(ISNUMBER(R59),R59&lt;'Baca Dulu'!$B$13)),"Positif lain","Negatif")))</f>
        <v>Negatif</v>
      </c>
      <c r="V59" s="17" t="s">
        <v>232</v>
      </c>
      <c r="W59" s="17"/>
      <c r="X59" s="17"/>
      <c r="Y59" s="19" t="str">
        <f aca="false">IF(V59="Dikirim",IF(X59-W59&lt;='Baca Dulu'!$B$15,"Ya","Tidak"),"")</f>
        <v/>
      </c>
      <c r="Z59" s="17"/>
      <c r="AA59" s="17"/>
      <c r="AB59" s="17"/>
    </row>
    <row r="60" customFormat="false" ht="15" hidden="false" customHeight="true" outlineLevel="0" collapsed="false">
      <c r="A60" s="17" t="s">
        <v>421</v>
      </c>
      <c r="B60" s="17" t="s">
        <v>422</v>
      </c>
      <c r="C60" s="17" t="s">
        <v>423</v>
      </c>
      <c r="D60" s="17" t="n">
        <v>43</v>
      </c>
      <c r="E60" s="17" t="s">
        <v>241</v>
      </c>
      <c r="F60" s="17" t="s">
        <v>44</v>
      </c>
      <c r="G60" s="17" t="s">
        <v>97</v>
      </c>
      <c r="H60" s="17" t="s">
        <v>229</v>
      </c>
      <c r="I60" s="18" t="n">
        <v>46302.4486111111</v>
      </c>
      <c r="J60" s="18" t="n">
        <v>46302.4736111111</v>
      </c>
      <c r="K60" s="17" t="s">
        <v>97</v>
      </c>
      <c r="L60" s="17" t="s">
        <v>242</v>
      </c>
      <c r="M60" s="17" t="s">
        <v>237</v>
      </c>
      <c r="N60" s="17" t="n">
        <v>48</v>
      </c>
      <c r="O60" s="17"/>
      <c r="P60" s="17"/>
      <c r="Q60" s="17"/>
      <c r="R60" s="17"/>
      <c r="S60" s="17" t="n">
        <v>36.3</v>
      </c>
      <c r="T60" s="19" t="str">
        <f aca="false">IF(AND(ISNUMBER(S60),S60&lt;='Baca Dulu'!$B$14),"Valid","Invalid")</f>
        <v>Invalid</v>
      </c>
      <c r="U60" s="19" t="str">
        <f aca="false">IF(T60="Invalid","Invalid",IF(OR(AND(ISNUMBER(O60),O60&lt;'Baca Dulu'!$B$13),AND(ISNUMBER(P60),P60&lt;'Baca Dulu'!$B$13)),"Positif 16/18",IF(OR(AND(ISNUMBER(Q60),Q60&lt;'Baca Dulu'!$B$13),AND(ISNUMBER(R60),R60&lt;'Baca Dulu'!$B$13)),"Positif lain","Negatif")))</f>
        <v>Invalid</v>
      </c>
      <c r="V60" s="17" t="s">
        <v>232</v>
      </c>
      <c r="W60" s="17"/>
      <c r="X60" s="17"/>
      <c r="Y60" s="19" t="str">
        <f aca="false">IF(V60="Dikirim",IF(X60-W60&lt;='Baca Dulu'!$B$15,"Ya","Tidak"),"")</f>
        <v/>
      </c>
      <c r="Z60" s="17"/>
      <c r="AA60" s="17"/>
      <c r="AB60" s="17"/>
    </row>
    <row r="61" customFormat="false" ht="15" hidden="false" customHeight="true" outlineLevel="0" collapsed="false">
      <c r="A61" s="17" t="s">
        <v>424</v>
      </c>
      <c r="B61" s="17" t="s">
        <v>425</v>
      </c>
      <c r="C61" s="17" t="s">
        <v>426</v>
      </c>
      <c r="D61" s="17" t="n">
        <v>61</v>
      </c>
      <c r="E61" s="17" t="s">
        <v>241</v>
      </c>
      <c r="F61" s="17" t="s">
        <v>228</v>
      </c>
      <c r="G61" s="17" t="s">
        <v>97</v>
      </c>
      <c r="H61" s="17" t="s">
        <v>229</v>
      </c>
      <c r="I61" s="18" t="n">
        <v>46308.7256944445</v>
      </c>
      <c r="J61" s="18" t="n">
        <v>46308.7284722222</v>
      </c>
      <c r="K61" s="17" t="s">
        <v>97</v>
      </c>
      <c r="L61" s="17" t="s">
        <v>230</v>
      </c>
      <c r="M61" s="17" t="s">
        <v>237</v>
      </c>
      <c r="N61" s="17" t="n">
        <v>40</v>
      </c>
      <c r="O61" s="17"/>
      <c r="P61" s="17"/>
      <c r="Q61" s="17"/>
      <c r="R61" s="17"/>
      <c r="S61" s="17" t="n">
        <v>25.5</v>
      </c>
      <c r="T61" s="19" t="str">
        <f aca="false">IF(AND(ISNUMBER(S61),S61&lt;='Baca Dulu'!$B$14),"Valid","Invalid")</f>
        <v>Valid</v>
      </c>
      <c r="U61" s="19" t="str">
        <f aca="false">IF(T61="Invalid","Invalid",IF(OR(AND(ISNUMBER(O61),O61&lt;'Baca Dulu'!$B$13),AND(ISNUMBER(P61),P61&lt;'Baca Dulu'!$B$13)),"Positif 16/18",IF(OR(AND(ISNUMBER(Q61),Q61&lt;'Baca Dulu'!$B$13),AND(ISNUMBER(R61),R61&lt;'Baca Dulu'!$B$13)),"Positif lain","Negatif")))</f>
        <v>Negatif</v>
      </c>
      <c r="V61" s="17" t="s">
        <v>232</v>
      </c>
      <c r="W61" s="17"/>
      <c r="X61" s="17"/>
      <c r="Y61" s="19" t="str">
        <f aca="false">IF(V61="Dikirim",IF(X61-W61&lt;='Baca Dulu'!$B$15,"Ya","Tidak"),"")</f>
        <v/>
      </c>
      <c r="Z61" s="17"/>
      <c r="AA61" s="17"/>
      <c r="AB61" s="1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3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8"/>
    <col collapsed="false" customWidth="true" hidden="false" outlineLevel="0" max="6" min="6" style="1" width="12"/>
    <col collapsed="false" customWidth="true" hidden="false" outlineLevel="0" max="7" min="7" style="1" width="22"/>
    <col collapsed="false" customWidth="true" hidden="false" outlineLevel="0" max="8" min="8" style="1" width="12"/>
  </cols>
  <sheetData>
    <row r="1" customFormat="false" ht="15" hidden="false" customHeight="true" outlineLevel="0" collapsed="false">
      <c r="A1" s="10" t="s">
        <v>427</v>
      </c>
    </row>
    <row r="2" customFormat="false" ht="23.25" hidden="false" customHeight="true" outlineLevel="0" collapsed="false">
      <c r="A2" s="21" t="s">
        <v>428</v>
      </c>
      <c r="B2" s="21" t="s">
        <v>429</v>
      </c>
      <c r="C2" s="21" t="s">
        <v>430</v>
      </c>
      <c r="D2" s="21" t="s">
        <v>431</v>
      </c>
      <c r="E2" s="21" t="s">
        <v>432</v>
      </c>
      <c r="F2" s="21" t="s">
        <v>40</v>
      </c>
      <c r="G2" s="21" t="s">
        <v>433</v>
      </c>
      <c r="H2" s="21" t="s">
        <v>434</v>
      </c>
    </row>
    <row r="3" customFormat="false" ht="15" hidden="false" customHeight="true" outlineLevel="0" collapsed="false">
      <c r="A3" s="17" t="s">
        <v>435</v>
      </c>
      <c r="B3" s="17" t="s">
        <v>436</v>
      </c>
      <c r="C3" s="17" t="s">
        <v>437</v>
      </c>
      <c r="D3" s="17" t="s">
        <v>438</v>
      </c>
      <c r="E3" s="17" t="s">
        <v>439</v>
      </c>
      <c r="F3" s="17" t="s">
        <v>440</v>
      </c>
      <c r="G3" s="17" t="s">
        <v>441</v>
      </c>
      <c r="H3" s="20" t="n">
        <v>46306</v>
      </c>
    </row>
    <row r="4" customFormat="false" ht="15" hidden="false" customHeight="true" outlineLevel="0" collapsed="false">
      <c r="A4" s="17" t="s">
        <v>435</v>
      </c>
      <c r="B4" s="17" t="s">
        <v>436</v>
      </c>
      <c r="C4" s="17" t="s">
        <v>442</v>
      </c>
      <c r="D4" s="17" t="s">
        <v>443</v>
      </c>
      <c r="E4" s="17" t="s">
        <v>439</v>
      </c>
      <c r="F4" s="17" t="s">
        <v>440</v>
      </c>
      <c r="G4" s="17" t="s">
        <v>441</v>
      </c>
      <c r="H4" s="20" t="n">
        <v>46306</v>
      </c>
    </row>
    <row r="5" customFormat="false" ht="15" hidden="false" customHeight="true" outlineLevel="0" collapsed="false">
      <c r="A5" s="17" t="s">
        <v>435</v>
      </c>
      <c r="B5" s="17" t="s">
        <v>436</v>
      </c>
      <c r="C5" s="17" t="s">
        <v>444</v>
      </c>
      <c r="D5" s="17" t="s">
        <v>445</v>
      </c>
      <c r="E5" s="17" t="s">
        <v>439</v>
      </c>
      <c r="F5" s="17" t="s">
        <v>440</v>
      </c>
      <c r="G5" s="17" t="s">
        <v>441</v>
      </c>
      <c r="H5" s="20" t="n">
        <v>46306</v>
      </c>
    </row>
    <row r="6" customFormat="false" ht="15" hidden="false" customHeight="true" outlineLevel="0" collapsed="false">
      <c r="A6" s="17" t="s">
        <v>435</v>
      </c>
      <c r="B6" s="17" t="s">
        <v>436</v>
      </c>
      <c r="C6" s="17" t="s">
        <v>446</v>
      </c>
      <c r="D6" s="17" t="s">
        <v>447</v>
      </c>
      <c r="E6" s="17" t="s">
        <v>439</v>
      </c>
      <c r="F6" s="17" t="s">
        <v>440</v>
      </c>
      <c r="G6" s="17" t="s">
        <v>441</v>
      </c>
      <c r="H6" s="20" t="n">
        <v>46306</v>
      </c>
    </row>
    <row r="7" customFormat="false" ht="15" hidden="false" customHeight="true" outlineLevel="0" collapsed="false">
      <c r="A7" s="17" t="s">
        <v>435</v>
      </c>
      <c r="B7" s="17" t="s">
        <v>436</v>
      </c>
      <c r="C7" s="17" t="s">
        <v>448</v>
      </c>
      <c r="D7" s="17" t="s">
        <v>449</v>
      </c>
      <c r="E7" s="17" t="n">
        <v>24.9</v>
      </c>
      <c r="F7" s="17" t="s">
        <v>440</v>
      </c>
      <c r="G7" s="17" t="s">
        <v>441</v>
      </c>
      <c r="H7" s="20" t="n">
        <v>46306</v>
      </c>
    </row>
    <row r="8" customFormat="false" ht="15" hidden="false" customHeight="true" outlineLevel="0" collapsed="false">
      <c r="A8" s="17" t="s">
        <v>450</v>
      </c>
      <c r="B8" s="17" t="s">
        <v>451</v>
      </c>
      <c r="C8" s="17" t="s">
        <v>437</v>
      </c>
      <c r="D8" s="17" t="s">
        <v>438</v>
      </c>
      <c r="E8" s="17" t="s">
        <v>439</v>
      </c>
      <c r="F8" s="17" t="s">
        <v>452</v>
      </c>
      <c r="G8" s="17" t="s">
        <v>441</v>
      </c>
      <c r="H8" s="20" t="n">
        <v>46306</v>
      </c>
    </row>
    <row r="9" customFormat="false" ht="15" hidden="false" customHeight="true" outlineLevel="0" collapsed="false">
      <c r="A9" s="17" t="s">
        <v>450</v>
      </c>
      <c r="B9" s="17" t="s">
        <v>451</v>
      </c>
      <c r="C9" s="17" t="s">
        <v>442</v>
      </c>
      <c r="D9" s="17" t="s">
        <v>443</v>
      </c>
      <c r="E9" s="17" t="s">
        <v>439</v>
      </c>
      <c r="F9" s="17" t="s">
        <v>452</v>
      </c>
      <c r="G9" s="17" t="s">
        <v>441</v>
      </c>
      <c r="H9" s="20" t="n">
        <v>46306</v>
      </c>
    </row>
    <row r="10" customFormat="false" ht="15" hidden="false" customHeight="true" outlineLevel="0" collapsed="false">
      <c r="A10" s="17" t="s">
        <v>450</v>
      </c>
      <c r="B10" s="17" t="s">
        <v>451</v>
      </c>
      <c r="C10" s="17" t="s">
        <v>444</v>
      </c>
      <c r="D10" s="17" t="s">
        <v>445</v>
      </c>
      <c r="E10" s="17" t="s">
        <v>439</v>
      </c>
      <c r="F10" s="17" t="s">
        <v>452</v>
      </c>
      <c r="G10" s="17" t="s">
        <v>441</v>
      </c>
      <c r="H10" s="20" t="n">
        <v>46306</v>
      </c>
    </row>
    <row r="11" customFormat="false" ht="15" hidden="false" customHeight="true" outlineLevel="0" collapsed="false">
      <c r="A11" s="17" t="s">
        <v>450</v>
      </c>
      <c r="B11" s="17" t="s">
        <v>451</v>
      </c>
      <c r="C11" s="17" t="s">
        <v>446</v>
      </c>
      <c r="D11" s="17" t="s">
        <v>447</v>
      </c>
      <c r="E11" s="17" t="s">
        <v>439</v>
      </c>
      <c r="F11" s="17" t="s">
        <v>452</v>
      </c>
      <c r="G11" s="17" t="s">
        <v>441</v>
      </c>
      <c r="H11" s="20" t="n">
        <v>46306</v>
      </c>
    </row>
    <row r="12" customFormat="false" ht="15" hidden="false" customHeight="true" outlineLevel="0" collapsed="false">
      <c r="A12" s="17" t="s">
        <v>450</v>
      </c>
      <c r="B12" s="17" t="s">
        <v>451</v>
      </c>
      <c r="C12" s="17" t="s">
        <v>448</v>
      </c>
      <c r="D12" s="17" t="s">
        <v>449</v>
      </c>
      <c r="E12" s="17" t="n">
        <v>26.9</v>
      </c>
      <c r="F12" s="17" t="s">
        <v>452</v>
      </c>
      <c r="G12" s="17" t="s">
        <v>441</v>
      </c>
      <c r="H12" s="20" t="n">
        <v>46306</v>
      </c>
    </row>
    <row r="13" customFormat="false" ht="15" hidden="false" customHeight="true" outlineLevel="0" collapsed="false">
      <c r="A13" s="17" t="s">
        <v>453</v>
      </c>
      <c r="B13" s="17" t="s">
        <v>454</v>
      </c>
      <c r="C13" s="17" t="s">
        <v>437</v>
      </c>
      <c r="D13" s="17" t="s">
        <v>438</v>
      </c>
      <c r="E13" s="17" t="s">
        <v>439</v>
      </c>
      <c r="F13" s="17" t="s">
        <v>455</v>
      </c>
      <c r="G13" s="17" t="s">
        <v>441</v>
      </c>
      <c r="H13" s="20" t="n">
        <v>46304</v>
      </c>
    </row>
    <row r="14" customFormat="false" ht="15" hidden="false" customHeight="true" outlineLevel="0" collapsed="false">
      <c r="A14" s="17" t="s">
        <v>453</v>
      </c>
      <c r="B14" s="17" t="s">
        <v>454</v>
      </c>
      <c r="C14" s="17" t="s">
        <v>442</v>
      </c>
      <c r="D14" s="17" t="s">
        <v>443</v>
      </c>
      <c r="E14" s="17" t="s">
        <v>439</v>
      </c>
      <c r="F14" s="17" t="s">
        <v>455</v>
      </c>
      <c r="G14" s="17" t="s">
        <v>441</v>
      </c>
      <c r="H14" s="20" t="n">
        <v>46304</v>
      </c>
    </row>
    <row r="15" customFormat="false" ht="15" hidden="false" customHeight="true" outlineLevel="0" collapsed="false">
      <c r="A15" s="17" t="s">
        <v>453</v>
      </c>
      <c r="B15" s="17" t="s">
        <v>454</v>
      </c>
      <c r="C15" s="17" t="s">
        <v>444</v>
      </c>
      <c r="D15" s="17" t="s">
        <v>445</v>
      </c>
      <c r="E15" s="17" t="s">
        <v>439</v>
      </c>
      <c r="F15" s="17" t="s">
        <v>455</v>
      </c>
      <c r="G15" s="17" t="s">
        <v>441</v>
      </c>
      <c r="H15" s="20" t="n">
        <v>46304</v>
      </c>
    </row>
    <row r="16" customFormat="false" ht="15" hidden="false" customHeight="true" outlineLevel="0" collapsed="false">
      <c r="A16" s="17" t="s">
        <v>453</v>
      </c>
      <c r="B16" s="17" t="s">
        <v>454</v>
      </c>
      <c r="C16" s="17" t="s">
        <v>446</v>
      </c>
      <c r="D16" s="17" t="s">
        <v>447</v>
      </c>
      <c r="E16" s="17" t="s">
        <v>439</v>
      </c>
      <c r="F16" s="17" t="s">
        <v>455</v>
      </c>
      <c r="G16" s="17" t="s">
        <v>441</v>
      </c>
      <c r="H16" s="20" t="n">
        <v>46304</v>
      </c>
    </row>
    <row r="17" customFormat="false" ht="15" hidden="false" customHeight="true" outlineLevel="0" collapsed="false">
      <c r="A17" s="17" t="s">
        <v>453</v>
      </c>
      <c r="B17" s="17" t="s">
        <v>454</v>
      </c>
      <c r="C17" s="17" t="s">
        <v>448</v>
      </c>
      <c r="D17" s="17" t="s">
        <v>449</v>
      </c>
      <c r="E17" s="17" t="n">
        <v>25.9</v>
      </c>
      <c r="F17" s="17" t="s">
        <v>455</v>
      </c>
      <c r="G17" s="17" t="s">
        <v>441</v>
      </c>
      <c r="H17" s="20" t="n">
        <v>46304</v>
      </c>
    </row>
    <row r="18" customFormat="false" ht="15" hidden="false" customHeight="true" outlineLevel="0" collapsed="false">
      <c r="A18" s="17" t="s">
        <v>456</v>
      </c>
      <c r="B18" s="17" t="s">
        <v>457</v>
      </c>
      <c r="C18" s="17" t="s">
        <v>437</v>
      </c>
      <c r="D18" s="17" t="s">
        <v>438</v>
      </c>
      <c r="E18" s="17" t="s">
        <v>439</v>
      </c>
      <c r="F18" s="17" t="s">
        <v>458</v>
      </c>
      <c r="G18" s="17" t="s">
        <v>441</v>
      </c>
      <c r="H18" s="20" t="n">
        <v>46310</v>
      </c>
    </row>
    <row r="19" customFormat="false" ht="15" hidden="false" customHeight="true" outlineLevel="0" collapsed="false">
      <c r="A19" s="17" t="s">
        <v>456</v>
      </c>
      <c r="B19" s="17" t="s">
        <v>457</v>
      </c>
      <c r="C19" s="17" t="s">
        <v>442</v>
      </c>
      <c r="D19" s="17" t="s">
        <v>443</v>
      </c>
      <c r="E19" s="17" t="s">
        <v>439</v>
      </c>
      <c r="F19" s="17" t="s">
        <v>458</v>
      </c>
      <c r="G19" s="17" t="s">
        <v>441</v>
      </c>
      <c r="H19" s="20" t="n">
        <v>46310</v>
      </c>
    </row>
    <row r="20" customFormat="false" ht="15" hidden="false" customHeight="true" outlineLevel="0" collapsed="false">
      <c r="A20" s="17" t="s">
        <v>456</v>
      </c>
      <c r="B20" s="17" t="s">
        <v>457</v>
      </c>
      <c r="C20" s="17" t="s">
        <v>444</v>
      </c>
      <c r="D20" s="17" t="s">
        <v>445</v>
      </c>
      <c r="E20" s="17" t="s">
        <v>439</v>
      </c>
      <c r="F20" s="17" t="s">
        <v>458</v>
      </c>
      <c r="G20" s="17" t="s">
        <v>441</v>
      </c>
      <c r="H20" s="20" t="n">
        <v>46310</v>
      </c>
    </row>
    <row r="21" customFormat="false" ht="15" hidden="false" customHeight="true" outlineLevel="0" collapsed="false">
      <c r="A21" s="17" t="s">
        <v>456</v>
      </c>
      <c r="B21" s="17" t="s">
        <v>457</v>
      </c>
      <c r="C21" s="17" t="s">
        <v>446</v>
      </c>
      <c r="D21" s="17" t="s">
        <v>447</v>
      </c>
      <c r="E21" s="17" t="s">
        <v>439</v>
      </c>
      <c r="F21" s="17" t="s">
        <v>458</v>
      </c>
      <c r="G21" s="17" t="s">
        <v>441</v>
      </c>
      <c r="H21" s="20" t="n">
        <v>46310</v>
      </c>
    </row>
    <row r="22" customFormat="false" ht="15" hidden="false" customHeight="true" outlineLevel="0" collapsed="false">
      <c r="A22" s="17" t="s">
        <v>456</v>
      </c>
      <c r="B22" s="17" t="s">
        <v>457</v>
      </c>
      <c r="C22" s="17" t="s">
        <v>448</v>
      </c>
      <c r="D22" s="17" t="s">
        <v>449</v>
      </c>
      <c r="E22" s="17" t="n">
        <v>29.5</v>
      </c>
      <c r="F22" s="17" t="s">
        <v>458</v>
      </c>
      <c r="G22" s="17" t="s">
        <v>441</v>
      </c>
      <c r="H22" s="20" t="n">
        <v>46310</v>
      </c>
    </row>
    <row r="23" customFormat="false" ht="15" hidden="false" customHeight="true" outlineLevel="0" collapsed="false">
      <c r="A23" s="17" t="s">
        <v>459</v>
      </c>
      <c r="B23" s="17" t="s">
        <v>460</v>
      </c>
      <c r="C23" s="17" t="s">
        <v>437</v>
      </c>
      <c r="D23" s="17" t="s">
        <v>438</v>
      </c>
      <c r="E23" s="17" t="s">
        <v>439</v>
      </c>
      <c r="F23" s="17" t="s">
        <v>461</v>
      </c>
      <c r="G23" s="17" t="s">
        <v>441</v>
      </c>
      <c r="H23" s="20" t="n">
        <v>46305</v>
      </c>
    </row>
    <row r="24" customFormat="false" ht="15" hidden="false" customHeight="true" outlineLevel="0" collapsed="false">
      <c r="A24" s="17" t="s">
        <v>459</v>
      </c>
      <c r="B24" s="17" t="s">
        <v>460</v>
      </c>
      <c r="C24" s="17" t="s">
        <v>442</v>
      </c>
      <c r="D24" s="17" t="s">
        <v>443</v>
      </c>
      <c r="E24" s="17" t="s">
        <v>439</v>
      </c>
      <c r="F24" s="17" t="s">
        <v>461</v>
      </c>
      <c r="G24" s="17" t="s">
        <v>441</v>
      </c>
      <c r="H24" s="20" t="n">
        <v>46305</v>
      </c>
    </row>
    <row r="25" customFormat="false" ht="15" hidden="false" customHeight="true" outlineLevel="0" collapsed="false">
      <c r="A25" s="17" t="s">
        <v>459</v>
      </c>
      <c r="B25" s="17" t="s">
        <v>460</v>
      </c>
      <c r="C25" s="17" t="s">
        <v>444</v>
      </c>
      <c r="D25" s="17" t="s">
        <v>445</v>
      </c>
      <c r="E25" s="17" t="s">
        <v>439</v>
      </c>
      <c r="F25" s="17" t="s">
        <v>461</v>
      </c>
      <c r="G25" s="17" t="s">
        <v>441</v>
      </c>
      <c r="H25" s="20" t="n">
        <v>46305</v>
      </c>
    </row>
    <row r="26" customFormat="false" ht="15" hidden="false" customHeight="true" outlineLevel="0" collapsed="false">
      <c r="A26" s="17" t="s">
        <v>459</v>
      </c>
      <c r="B26" s="17" t="s">
        <v>460</v>
      </c>
      <c r="C26" s="17" t="s">
        <v>446</v>
      </c>
      <c r="D26" s="17" t="s">
        <v>447</v>
      </c>
      <c r="E26" s="17" t="s">
        <v>439</v>
      </c>
      <c r="F26" s="17" t="s">
        <v>461</v>
      </c>
      <c r="G26" s="17" t="s">
        <v>441</v>
      </c>
      <c r="H26" s="20" t="n">
        <v>46305</v>
      </c>
    </row>
    <row r="27" customFormat="false" ht="15" hidden="false" customHeight="true" outlineLevel="0" collapsed="false">
      <c r="A27" s="17" t="s">
        <v>459</v>
      </c>
      <c r="B27" s="17" t="s">
        <v>460</v>
      </c>
      <c r="C27" s="17" t="s">
        <v>448</v>
      </c>
      <c r="D27" s="17" t="s">
        <v>449</v>
      </c>
      <c r="E27" s="17" t="n">
        <v>29.6</v>
      </c>
      <c r="F27" s="17" t="s">
        <v>461</v>
      </c>
      <c r="G27" s="17" t="s">
        <v>441</v>
      </c>
      <c r="H27" s="20" t="n">
        <v>46305</v>
      </c>
    </row>
    <row r="28" customFormat="false" ht="15" hidden="false" customHeight="true" outlineLevel="0" collapsed="false">
      <c r="A28" s="17" t="s">
        <v>462</v>
      </c>
      <c r="B28" s="17" t="s">
        <v>463</v>
      </c>
      <c r="C28" s="17" t="s">
        <v>437</v>
      </c>
      <c r="D28" s="17" t="s">
        <v>438</v>
      </c>
      <c r="E28" s="17" t="s">
        <v>439</v>
      </c>
      <c r="F28" s="17" t="s">
        <v>464</v>
      </c>
      <c r="G28" s="17" t="s">
        <v>465</v>
      </c>
      <c r="H28" s="20" t="n">
        <v>46313</v>
      </c>
    </row>
    <row r="29" customFormat="false" ht="15" hidden="false" customHeight="true" outlineLevel="0" collapsed="false">
      <c r="A29" s="17" t="s">
        <v>462</v>
      </c>
      <c r="B29" s="17" t="s">
        <v>463</v>
      </c>
      <c r="C29" s="17" t="s">
        <v>442</v>
      </c>
      <c r="D29" s="17" t="s">
        <v>443</v>
      </c>
      <c r="E29" s="17" t="s">
        <v>439</v>
      </c>
      <c r="F29" s="17" t="s">
        <v>464</v>
      </c>
      <c r="G29" s="17" t="s">
        <v>465</v>
      </c>
      <c r="H29" s="20" t="n">
        <v>46313</v>
      </c>
    </row>
    <row r="30" customFormat="false" ht="15" hidden="false" customHeight="true" outlineLevel="0" collapsed="false">
      <c r="A30" s="17" t="s">
        <v>462</v>
      </c>
      <c r="B30" s="17" t="s">
        <v>463</v>
      </c>
      <c r="C30" s="17" t="s">
        <v>444</v>
      </c>
      <c r="D30" s="17" t="s">
        <v>445</v>
      </c>
      <c r="E30" s="17" t="s">
        <v>439</v>
      </c>
      <c r="F30" s="17" t="s">
        <v>464</v>
      </c>
      <c r="G30" s="17" t="s">
        <v>465</v>
      </c>
      <c r="H30" s="20" t="n">
        <v>46313</v>
      </c>
    </row>
    <row r="31" customFormat="false" ht="15" hidden="false" customHeight="true" outlineLevel="0" collapsed="false">
      <c r="A31" s="17" t="s">
        <v>462</v>
      </c>
      <c r="B31" s="17" t="s">
        <v>463</v>
      </c>
      <c r="C31" s="17" t="s">
        <v>446</v>
      </c>
      <c r="D31" s="17" t="s">
        <v>447</v>
      </c>
      <c r="E31" s="17" t="s">
        <v>439</v>
      </c>
      <c r="F31" s="17" t="s">
        <v>464</v>
      </c>
      <c r="G31" s="17" t="s">
        <v>465</v>
      </c>
      <c r="H31" s="20" t="n">
        <v>46313</v>
      </c>
    </row>
    <row r="32" customFormat="false" ht="15" hidden="false" customHeight="true" outlineLevel="0" collapsed="false">
      <c r="A32" s="17" t="s">
        <v>462</v>
      </c>
      <c r="B32" s="17" t="s">
        <v>463</v>
      </c>
      <c r="C32" s="17" t="s">
        <v>448</v>
      </c>
      <c r="D32" s="17" t="s">
        <v>449</v>
      </c>
      <c r="E32" s="17" t="n">
        <v>29.8</v>
      </c>
      <c r="F32" s="17" t="s">
        <v>464</v>
      </c>
      <c r="G32" s="17" t="s">
        <v>465</v>
      </c>
      <c r="H32" s="20" t="n">
        <v>46313</v>
      </c>
    </row>
    <row r="33" customFormat="false" ht="15" hidden="false" customHeight="true" outlineLevel="0" collapsed="false">
      <c r="A33" s="17" t="s">
        <v>466</v>
      </c>
      <c r="B33" s="17" t="s">
        <v>467</v>
      </c>
      <c r="C33" s="17" t="s">
        <v>437</v>
      </c>
      <c r="D33" s="17" t="s">
        <v>438</v>
      </c>
      <c r="E33" s="17" t="s">
        <v>439</v>
      </c>
      <c r="F33" s="17" t="s">
        <v>468</v>
      </c>
      <c r="G33" s="17" t="s">
        <v>465</v>
      </c>
      <c r="H33" s="20" t="n">
        <v>46306</v>
      </c>
    </row>
    <row r="34" customFormat="false" ht="15" hidden="false" customHeight="true" outlineLevel="0" collapsed="false">
      <c r="A34" s="17" t="s">
        <v>466</v>
      </c>
      <c r="B34" s="17" t="s">
        <v>467</v>
      </c>
      <c r="C34" s="17" t="s">
        <v>442</v>
      </c>
      <c r="D34" s="17" t="s">
        <v>443</v>
      </c>
      <c r="E34" s="17" t="s">
        <v>439</v>
      </c>
      <c r="F34" s="17" t="s">
        <v>468</v>
      </c>
      <c r="G34" s="17" t="s">
        <v>465</v>
      </c>
      <c r="H34" s="20" t="n">
        <v>46306</v>
      </c>
    </row>
    <row r="35" customFormat="false" ht="15" hidden="false" customHeight="true" outlineLevel="0" collapsed="false">
      <c r="A35" s="17" t="s">
        <v>466</v>
      </c>
      <c r="B35" s="17" t="s">
        <v>467</v>
      </c>
      <c r="C35" s="17" t="s">
        <v>444</v>
      </c>
      <c r="D35" s="17" t="s">
        <v>445</v>
      </c>
      <c r="E35" s="17" t="s">
        <v>439</v>
      </c>
      <c r="F35" s="17" t="s">
        <v>468</v>
      </c>
      <c r="G35" s="17" t="s">
        <v>465</v>
      </c>
      <c r="H35" s="20" t="n">
        <v>46306</v>
      </c>
    </row>
    <row r="36" customFormat="false" ht="15" hidden="false" customHeight="true" outlineLevel="0" collapsed="false">
      <c r="A36" s="17" t="s">
        <v>466</v>
      </c>
      <c r="B36" s="17" t="s">
        <v>467</v>
      </c>
      <c r="C36" s="17" t="s">
        <v>446</v>
      </c>
      <c r="D36" s="17" t="s">
        <v>447</v>
      </c>
      <c r="E36" s="17" t="s">
        <v>439</v>
      </c>
      <c r="F36" s="17" t="s">
        <v>468</v>
      </c>
      <c r="G36" s="17" t="s">
        <v>465</v>
      </c>
      <c r="H36" s="20" t="n">
        <v>46306</v>
      </c>
    </row>
    <row r="37" customFormat="false" ht="15" hidden="false" customHeight="true" outlineLevel="0" collapsed="false">
      <c r="A37" s="17" t="s">
        <v>466</v>
      </c>
      <c r="B37" s="17" t="s">
        <v>467</v>
      </c>
      <c r="C37" s="17" t="s">
        <v>448</v>
      </c>
      <c r="D37" s="17" t="s">
        <v>449</v>
      </c>
      <c r="E37" s="17" t="n">
        <v>28.1</v>
      </c>
      <c r="F37" s="17" t="s">
        <v>468</v>
      </c>
      <c r="G37" s="17" t="s">
        <v>465</v>
      </c>
      <c r="H37" s="20" t="n">
        <v>46306</v>
      </c>
    </row>
    <row r="38" customFormat="false" ht="15" hidden="false" customHeight="true" outlineLevel="0" collapsed="false">
      <c r="A38" s="17" t="s">
        <v>469</v>
      </c>
      <c r="B38" s="17" t="s">
        <v>470</v>
      </c>
      <c r="C38" s="17" t="s">
        <v>437</v>
      </c>
      <c r="D38" s="17" t="s">
        <v>438</v>
      </c>
      <c r="E38" s="17" t="s">
        <v>439</v>
      </c>
      <c r="F38" s="17" t="s">
        <v>471</v>
      </c>
      <c r="G38" s="17" t="s">
        <v>441</v>
      </c>
      <c r="H38" s="20" t="n">
        <v>46311</v>
      </c>
    </row>
    <row r="39" customFormat="false" ht="15" hidden="false" customHeight="true" outlineLevel="0" collapsed="false">
      <c r="A39" s="17" t="s">
        <v>469</v>
      </c>
      <c r="B39" s="17" t="s">
        <v>470</v>
      </c>
      <c r="C39" s="17" t="s">
        <v>442</v>
      </c>
      <c r="D39" s="17" t="s">
        <v>443</v>
      </c>
      <c r="E39" s="17" t="s">
        <v>439</v>
      </c>
      <c r="F39" s="17" t="s">
        <v>471</v>
      </c>
      <c r="G39" s="17" t="s">
        <v>441</v>
      </c>
      <c r="H39" s="20" t="n">
        <v>46311</v>
      </c>
    </row>
    <row r="40" customFormat="false" ht="15" hidden="false" customHeight="true" outlineLevel="0" collapsed="false">
      <c r="A40" s="17" t="s">
        <v>469</v>
      </c>
      <c r="B40" s="17" t="s">
        <v>470</v>
      </c>
      <c r="C40" s="17" t="s">
        <v>444</v>
      </c>
      <c r="D40" s="17" t="s">
        <v>445</v>
      </c>
      <c r="E40" s="17" t="s">
        <v>439</v>
      </c>
      <c r="F40" s="17" t="s">
        <v>471</v>
      </c>
      <c r="G40" s="17" t="s">
        <v>441</v>
      </c>
      <c r="H40" s="20" t="n">
        <v>46311</v>
      </c>
    </row>
    <row r="41" customFormat="false" ht="15" hidden="false" customHeight="true" outlineLevel="0" collapsed="false">
      <c r="A41" s="17" t="s">
        <v>469</v>
      </c>
      <c r="B41" s="17" t="s">
        <v>470</v>
      </c>
      <c r="C41" s="17" t="s">
        <v>446</v>
      </c>
      <c r="D41" s="17" t="s">
        <v>447</v>
      </c>
      <c r="E41" s="17" t="n">
        <v>23.5</v>
      </c>
      <c r="F41" s="17" t="s">
        <v>471</v>
      </c>
      <c r="G41" s="17" t="s">
        <v>441</v>
      </c>
      <c r="H41" s="20" t="n">
        <v>46311</v>
      </c>
    </row>
    <row r="42" customFormat="false" ht="15" hidden="false" customHeight="true" outlineLevel="0" collapsed="false">
      <c r="A42" s="17" t="s">
        <v>469</v>
      </c>
      <c r="B42" s="17" t="s">
        <v>470</v>
      </c>
      <c r="C42" s="17" t="s">
        <v>448</v>
      </c>
      <c r="D42" s="17" t="s">
        <v>449</v>
      </c>
      <c r="E42" s="17" t="n">
        <v>27.6</v>
      </c>
      <c r="F42" s="17" t="s">
        <v>471</v>
      </c>
      <c r="G42" s="17" t="s">
        <v>441</v>
      </c>
      <c r="H42" s="20" t="n">
        <v>46311</v>
      </c>
    </row>
    <row r="43" customFormat="false" ht="15" hidden="false" customHeight="true" outlineLevel="0" collapsed="false">
      <c r="A43" s="17" t="s">
        <v>472</v>
      </c>
      <c r="B43" s="17" t="s">
        <v>473</v>
      </c>
      <c r="C43" s="17" t="s">
        <v>437</v>
      </c>
      <c r="D43" s="17" t="s">
        <v>438</v>
      </c>
      <c r="E43" s="17" t="s">
        <v>439</v>
      </c>
      <c r="F43" s="17" t="s">
        <v>474</v>
      </c>
      <c r="G43" s="17" t="s">
        <v>441</v>
      </c>
      <c r="H43" s="20" t="n">
        <v>46310</v>
      </c>
    </row>
    <row r="44" customFormat="false" ht="15" hidden="false" customHeight="true" outlineLevel="0" collapsed="false">
      <c r="A44" s="17" t="s">
        <v>472</v>
      </c>
      <c r="B44" s="17" t="s">
        <v>473</v>
      </c>
      <c r="C44" s="17" t="s">
        <v>442</v>
      </c>
      <c r="D44" s="17" t="s">
        <v>443</v>
      </c>
      <c r="E44" s="17" t="s">
        <v>439</v>
      </c>
      <c r="F44" s="17" t="s">
        <v>474</v>
      </c>
      <c r="G44" s="17" t="s">
        <v>441</v>
      </c>
      <c r="H44" s="20" t="n">
        <v>46310</v>
      </c>
    </row>
    <row r="45" customFormat="false" ht="15" hidden="false" customHeight="true" outlineLevel="0" collapsed="false">
      <c r="A45" s="17" t="s">
        <v>472</v>
      </c>
      <c r="B45" s="17" t="s">
        <v>473</v>
      </c>
      <c r="C45" s="17" t="s">
        <v>444</v>
      </c>
      <c r="D45" s="17" t="s">
        <v>445</v>
      </c>
      <c r="E45" s="17" t="s">
        <v>439</v>
      </c>
      <c r="F45" s="17" t="s">
        <v>474</v>
      </c>
      <c r="G45" s="17" t="s">
        <v>441</v>
      </c>
      <c r="H45" s="20" t="n">
        <v>46310</v>
      </c>
    </row>
    <row r="46" customFormat="false" ht="15" hidden="false" customHeight="true" outlineLevel="0" collapsed="false">
      <c r="A46" s="17" t="s">
        <v>472</v>
      </c>
      <c r="B46" s="17" t="s">
        <v>473</v>
      </c>
      <c r="C46" s="17" t="s">
        <v>446</v>
      </c>
      <c r="D46" s="17" t="s">
        <v>447</v>
      </c>
      <c r="E46" s="17" t="s">
        <v>439</v>
      </c>
      <c r="F46" s="17" t="s">
        <v>474</v>
      </c>
      <c r="G46" s="17" t="s">
        <v>441</v>
      </c>
      <c r="H46" s="20" t="n">
        <v>46310</v>
      </c>
    </row>
    <row r="47" customFormat="false" ht="15" hidden="false" customHeight="true" outlineLevel="0" collapsed="false">
      <c r="A47" s="17" t="s">
        <v>472</v>
      </c>
      <c r="B47" s="17" t="s">
        <v>473</v>
      </c>
      <c r="C47" s="17" t="s">
        <v>448</v>
      </c>
      <c r="D47" s="17" t="s">
        <v>449</v>
      </c>
      <c r="E47" s="17" t="n">
        <v>27.4</v>
      </c>
      <c r="F47" s="17" t="s">
        <v>474</v>
      </c>
      <c r="G47" s="17" t="s">
        <v>441</v>
      </c>
      <c r="H47" s="20" t="n">
        <v>46310</v>
      </c>
    </row>
    <row r="48" customFormat="false" ht="15" hidden="false" customHeight="true" outlineLevel="0" collapsed="false">
      <c r="A48" s="17" t="s">
        <v>475</v>
      </c>
      <c r="B48" s="17" t="s">
        <v>476</v>
      </c>
      <c r="C48" s="17" t="s">
        <v>437</v>
      </c>
      <c r="D48" s="17" t="s">
        <v>438</v>
      </c>
      <c r="E48" s="17" t="s">
        <v>439</v>
      </c>
      <c r="F48" s="17" t="s">
        <v>477</v>
      </c>
      <c r="G48" s="17" t="s">
        <v>465</v>
      </c>
      <c r="H48" s="20" t="n">
        <v>46310</v>
      </c>
    </row>
    <row r="49" customFormat="false" ht="15" hidden="false" customHeight="true" outlineLevel="0" collapsed="false">
      <c r="A49" s="17" t="s">
        <v>475</v>
      </c>
      <c r="B49" s="17" t="s">
        <v>476</v>
      </c>
      <c r="C49" s="17" t="s">
        <v>442</v>
      </c>
      <c r="D49" s="17" t="s">
        <v>443</v>
      </c>
      <c r="E49" s="17" t="s">
        <v>439</v>
      </c>
      <c r="F49" s="17" t="s">
        <v>477</v>
      </c>
      <c r="G49" s="17" t="s">
        <v>465</v>
      </c>
      <c r="H49" s="20" t="n">
        <v>46310</v>
      </c>
    </row>
    <row r="50" customFormat="false" ht="15" hidden="false" customHeight="true" outlineLevel="0" collapsed="false">
      <c r="A50" s="17" t="s">
        <v>475</v>
      </c>
      <c r="B50" s="17" t="s">
        <v>476</v>
      </c>
      <c r="C50" s="17" t="s">
        <v>444</v>
      </c>
      <c r="D50" s="17" t="s">
        <v>445</v>
      </c>
      <c r="E50" s="17" t="s">
        <v>439</v>
      </c>
      <c r="F50" s="17" t="s">
        <v>477</v>
      </c>
      <c r="G50" s="17" t="s">
        <v>465</v>
      </c>
      <c r="H50" s="20" t="n">
        <v>46310</v>
      </c>
    </row>
    <row r="51" customFormat="false" ht="15" hidden="false" customHeight="true" outlineLevel="0" collapsed="false">
      <c r="A51" s="17" t="s">
        <v>475</v>
      </c>
      <c r="B51" s="17" t="s">
        <v>476</v>
      </c>
      <c r="C51" s="17" t="s">
        <v>446</v>
      </c>
      <c r="D51" s="17" t="s">
        <v>447</v>
      </c>
      <c r="E51" s="17" t="s">
        <v>439</v>
      </c>
      <c r="F51" s="17" t="s">
        <v>477</v>
      </c>
      <c r="G51" s="17" t="s">
        <v>465</v>
      </c>
      <c r="H51" s="20" t="n">
        <v>46310</v>
      </c>
    </row>
    <row r="52" customFormat="false" ht="15" hidden="false" customHeight="true" outlineLevel="0" collapsed="false">
      <c r="A52" s="17" t="s">
        <v>475</v>
      </c>
      <c r="B52" s="17" t="s">
        <v>476</v>
      </c>
      <c r="C52" s="17" t="s">
        <v>448</v>
      </c>
      <c r="D52" s="17" t="s">
        <v>449</v>
      </c>
      <c r="E52" s="17" t="n">
        <v>26.2</v>
      </c>
      <c r="F52" s="17" t="s">
        <v>477</v>
      </c>
      <c r="G52" s="17" t="s">
        <v>465</v>
      </c>
      <c r="H52" s="20" t="n">
        <v>46310</v>
      </c>
    </row>
    <row r="53" customFormat="false" ht="15" hidden="false" customHeight="true" outlineLevel="0" collapsed="false">
      <c r="A53" s="17" t="s">
        <v>478</v>
      </c>
      <c r="B53" s="17" t="s">
        <v>479</v>
      </c>
      <c r="C53" s="17" t="s">
        <v>437</v>
      </c>
      <c r="D53" s="17" t="s">
        <v>438</v>
      </c>
      <c r="E53" s="17" t="s">
        <v>439</v>
      </c>
      <c r="F53" s="17" t="s">
        <v>480</v>
      </c>
      <c r="G53" s="17" t="s">
        <v>441</v>
      </c>
      <c r="H53" s="20" t="n">
        <v>46305</v>
      </c>
    </row>
    <row r="54" customFormat="false" ht="15" hidden="false" customHeight="true" outlineLevel="0" collapsed="false">
      <c r="A54" s="17" t="s">
        <v>478</v>
      </c>
      <c r="B54" s="17" t="s">
        <v>479</v>
      </c>
      <c r="C54" s="17" t="s">
        <v>442</v>
      </c>
      <c r="D54" s="17" t="s">
        <v>443</v>
      </c>
      <c r="E54" s="17" t="s">
        <v>439</v>
      </c>
      <c r="F54" s="17" t="s">
        <v>480</v>
      </c>
      <c r="G54" s="17" t="s">
        <v>441</v>
      </c>
      <c r="H54" s="20" t="n">
        <v>46305</v>
      </c>
    </row>
    <row r="55" customFormat="false" ht="15" hidden="false" customHeight="true" outlineLevel="0" collapsed="false">
      <c r="A55" s="17" t="s">
        <v>478</v>
      </c>
      <c r="B55" s="17" t="s">
        <v>479</v>
      </c>
      <c r="C55" s="17" t="s">
        <v>444</v>
      </c>
      <c r="D55" s="17" t="s">
        <v>445</v>
      </c>
      <c r="E55" s="17" t="s">
        <v>439</v>
      </c>
      <c r="F55" s="17" t="s">
        <v>480</v>
      </c>
      <c r="G55" s="17" t="s">
        <v>441</v>
      </c>
      <c r="H55" s="20" t="n">
        <v>46305</v>
      </c>
    </row>
    <row r="56" customFormat="false" ht="15" hidden="false" customHeight="true" outlineLevel="0" collapsed="false">
      <c r="A56" s="17" t="s">
        <v>478</v>
      </c>
      <c r="B56" s="17" t="s">
        <v>479</v>
      </c>
      <c r="C56" s="17" t="s">
        <v>446</v>
      </c>
      <c r="D56" s="17" t="s">
        <v>447</v>
      </c>
      <c r="E56" s="17" t="s">
        <v>439</v>
      </c>
      <c r="F56" s="17" t="s">
        <v>480</v>
      </c>
      <c r="G56" s="17" t="s">
        <v>441</v>
      </c>
      <c r="H56" s="20" t="n">
        <v>46305</v>
      </c>
    </row>
    <row r="57" customFormat="false" ht="15" hidden="false" customHeight="true" outlineLevel="0" collapsed="false">
      <c r="A57" s="17" t="s">
        <v>478</v>
      </c>
      <c r="B57" s="17" t="s">
        <v>479</v>
      </c>
      <c r="C57" s="17" t="s">
        <v>448</v>
      </c>
      <c r="D57" s="17" t="s">
        <v>449</v>
      </c>
      <c r="E57" s="17" t="n">
        <v>36.9</v>
      </c>
      <c r="F57" s="17" t="s">
        <v>480</v>
      </c>
      <c r="G57" s="17" t="s">
        <v>441</v>
      </c>
      <c r="H57" s="20" t="n">
        <v>46305</v>
      </c>
    </row>
    <row r="58" customFormat="false" ht="15" hidden="false" customHeight="true" outlineLevel="0" collapsed="false">
      <c r="A58" s="17" t="s">
        <v>481</v>
      </c>
      <c r="B58" s="17" t="s">
        <v>482</v>
      </c>
      <c r="C58" s="17" t="s">
        <v>437</v>
      </c>
      <c r="D58" s="17" t="s">
        <v>438</v>
      </c>
      <c r="E58" s="17" t="s">
        <v>439</v>
      </c>
      <c r="F58" s="17" t="s">
        <v>483</v>
      </c>
      <c r="G58" s="17" t="s">
        <v>441</v>
      </c>
      <c r="H58" s="20" t="n">
        <v>46306</v>
      </c>
    </row>
    <row r="59" customFormat="false" ht="15" hidden="false" customHeight="true" outlineLevel="0" collapsed="false">
      <c r="A59" s="17" t="s">
        <v>481</v>
      </c>
      <c r="B59" s="17" t="s">
        <v>482</v>
      </c>
      <c r="C59" s="17" t="s">
        <v>442</v>
      </c>
      <c r="D59" s="17" t="s">
        <v>443</v>
      </c>
      <c r="E59" s="17" t="s">
        <v>439</v>
      </c>
      <c r="F59" s="17" t="s">
        <v>483</v>
      </c>
      <c r="G59" s="17" t="s">
        <v>441</v>
      </c>
      <c r="H59" s="20" t="n">
        <v>46306</v>
      </c>
    </row>
    <row r="60" customFormat="false" ht="15" hidden="false" customHeight="true" outlineLevel="0" collapsed="false">
      <c r="A60" s="17" t="s">
        <v>481</v>
      </c>
      <c r="B60" s="17" t="s">
        <v>482</v>
      </c>
      <c r="C60" s="17" t="s">
        <v>444</v>
      </c>
      <c r="D60" s="17" t="s">
        <v>445</v>
      </c>
      <c r="E60" s="17" t="s">
        <v>439</v>
      </c>
      <c r="F60" s="17" t="s">
        <v>483</v>
      </c>
      <c r="G60" s="17" t="s">
        <v>441</v>
      </c>
      <c r="H60" s="20" t="n">
        <v>46306</v>
      </c>
    </row>
    <row r="61" customFormat="false" ht="15" hidden="false" customHeight="true" outlineLevel="0" collapsed="false">
      <c r="A61" s="17" t="s">
        <v>481</v>
      </c>
      <c r="B61" s="17" t="s">
        <v>482</v>
      </c>
      <c r="C61" s="17" t="s">
        <v>446</v>
      </c>
      <c r="D61" s="17" t="s">
        <v>447</v>
      </c>
      <c r="E61" s="17" t="s">
        <v>439</v>
      </c>
      <c r="F61" s="17" t="s">
        <v>483</v>
      </c>
      <c r="G61" s="17" t="s">
        <v>441</v>
      </c>
      <c r="H61" s="20" t="n">
        <v>46306</v>
      </c>
    </row>
    <row r="62" customFormat="false" ht="15" hidden="false" customHeight="true" outlineLevel="0" collapsed="false">
      <c r="A62" s="17" t="s">
        <v>481</v>
      </c>
      <c r="B62" s="17" t="s">
        <v>482</v>
      </c>
      <c r="C62" s="17" t="s">
        <v>448</v>
      </c>
      <c r="D62" s="17" t="s">
        <v>449</v>
      </c>
      <c r="E62" s="17" t="n">
        <v>29.7</v>
      </c>
      <c r="F62" s="17" t="s">
        <v>483</v>
      </c>
      <c r="G62" s="17" t="s">
        <v>441</v>
      </c>
      <c r="H62" s="20" t="n">
        <v>46306</v>
      </c>
    </row>
    <row r="63" customFormat="false" ht="15" hidden="false" customHeight="true" outlineLevel="0" collapsed="false">
      <c r="A63" s="17" t="s">
        <v>484</v>
      </c>
      <c r="B63" s="17" t="s">
        <v>485</v>
      </c>
      <c r="C63" s="17" t="s">
        <v>437</v>
      </c>
      <c r="D63" s="17" t="s">
        <v>438</v>
      </c>
      <c r="E63" s="17" t="n">
        <v>24.4</v>
      </c>
      <c r="F63" s="17" t="s">
        <v>486</v>
      </c>
      <c r="G63" s="17" t="s">
        <v>465</v>
      </c>
      <c r="H63" s="20" t="n">
        <v>46307</v>
      </c>
    </row>
    <row r="64" customFormat="false" ht="15" hidden="false" customHeight="true" outlineLevel="0" collapsed="false">
      <c r="A64" s="17" t="s">
        <v>484</v>
      </c>
      <c r="B64" s="17" t="s">
        <v>485</v>
      </c>
      <c r="C64" s="17" t="s">
        <v>442</v>
      </c>
      <c r="D64" s="17" t="s">
        <v>443</v>
      </c>
      <c r="E64" s="17" t="s">
        <v>439</v>
      </c>
      <c r="F64" s="17" t="s">
        <v>486</v>
      </c>
      <c r="G64" s="17" t="s">
        <v>465</v>
      </c>
      <c r="H64" s="20" t="n">
        <v>46307</v>
      </c>
    </row>
    <row r="65" customFormat="false" ht="15" hidden="false" customHeight="true" outlineLevel="0" collapsed="false">
      <c r="A65" s="17" t="s">
        <v>484</v>
      </c>
      <c r="B65" s="17" t="s">
        <v>485</v>
      </c>
      <c r="C65" s="17" t="s">
        <v>444</v>
      </c>
      <c r="D65" s="17" t="s">
        <v>445</v>
      </c>
      <c r="E65" s="17" t="s">
        <v>439</v>
      </c>
      <c r="F65" s="17" t="s">
        <v>486</v>
      </c>
      <c r="G65" s="17" t="s">
        <v>465</v>
      </c>
      <c r="H65" s="20" t="n">
        <v>46307</v>
      </c>
    </row>
    <row r="66" customFormat="false" ht="15" hidden="false" customHeight="true" outlineLevel="0" collapsed="false">
      <c r="A66" s="17" t="s">
        <v>484</v>
      </c>
      <c r="B66" s="17" t="s">
        <v>485</v>
      </c>
      <c r="C66" s="17" t="s">
        <v>446</v>
      </c>
      <c r="D66" s="17" t="s">
        <v>447</v>
      </c>
      <c r="E66" s="17" t="s">
        <v>439</v>
      </c>
      <c r="F66" s="17" t="s">
        <v>486</v>
      </c>
      <c r="G66" s="17" t="s">
        <v>465</v>
      </c>
      <c r="H66" s="20" t="n">
        <v>46307</v>
      </c>
    </row>
    <row r="67" customFormat="false" ht="15" hidden="false" customHeight="true" outlineLevel="0" collapsed="false">
      <c r="A67" s="17" t="s">
        <v>484</v>
      </c>
      <c r="B67" s="17" t="s">
        <v>485</v>
      </c>
      <c r="C67" s="17" t="s">
        <v>448</v>
      </c>
      <c r="D67" s="17" t="s">
        <v>449</v>
      </c>
      <c r="E67" s="17" t="n">
        <v>26.8</v>
      </c>
      <c r="F67" s="17" t="s">
        <v>486</v>
      </c>
      <c r="G67" s="17" t="s">
        <v>465</v>
      </c>
      <c r="H67" s="20" t="n">
        <v>46307</v>
      </c>
    </row>
    <row r="68" customFormat="false" ht="15" hidden="false" customHeight="true" outlineLevel="0" collapsed="false">
      <c r="A68" s="17" t="s">
        <v>487</v>
      </c>
      <c r="B68" s="17" t="s">
        <v>488</v>
      </c>
      <c r="C68" s="17" t="s">
        <v>437</v>
      </c>
      <c r="D68" s="17" t="s">
        <v>438</v>
      </c>
      <c r="E68" s="17" t="s">
        <v>439</v>
      </c>
      <c r="F68" s="17" t="s">
        <v>489</v>
      </c>
      <c r="G68" s="17" t="s">
        <v>441</v>
      </c>
      <c r="H68" s="20" t="n">
        <v>46305</v>
      </c>
    </row>
    <row r="69" customFormat="false" ht="15" hidden="false" customHeight="true" outlineLevel="0" collapsed="false">
      <c r="A69" s="17" t="s">
        <v>487</v>
      </c>
      <c r="B69" s="17" t="s">
        <v>488</v>
      </c>
      <c r="C69" s="17" t="s">
        <v>442</v>
      </c>
      <c r="D69" s="17" t="s">
        <v>443</v>
      </c>
      <c r="E69" s="17" t="s">
        <v>439</v>
      </c>
      <c r="F69" s="17" t="s">
        <v>489</v>
      </c>
      <c r="G69" s="17" t="s">
        <v>441</v>
      </c>
      <c r="H69" s="20" t="n">
        <v>46305</v>
      </c>
    </row>
    <row r="70" customFormat="false" ht="15" hidden="false" customHeight="true" outlineLevel="0" collapsed="false">
      <c r="A70" s="17" t="s">
        <v>487</v>
      </c>
      <c r="B70" s="17" t="s">
        <v>488</v>
      </c>
      <c r="C70" s="17" t="s">
        <v>444</v>
      </c>
      <c r="D70" s="17" t="s">
        <v>445</v>
      </c>
      <c r="E70" s="17" t="s">
        <v>439</v>
      </c>
      <c r="F70" s="17" t="s">
        <v>489</v>
      </c>
      <c r="G70" s="17" t="s">
        <v>441</v>
      </c>
      <c r="H70" s="20" t="n">
        <v>46305</v>
      </c>
    </row>
    <row r="71" customFormat="false" ht="15" hidden="false" customHeight="true" outlineLevel="0" collapsed="false">
      <c r="A71" s="17" t="s">
        <v>487</v>
      </c>
      <c r="B71" s="17" t="s">
        <v>488</v>
      </c>
      <c r="C71" s="17" t="s">
        <v>446</v>
      </c>
      <c r="D71" s="17" t="s">
        <v>447</v>
      </c>
      <c r="E71" s="17" t="s">
        <v>439</v>
      </c>
      <c r="F71" s="17" t="s">
        <v>489</v>
      </c>
      <c r="G71" s="17" t="s">
        <v>441</v>
      </c>
      <c r="H71" s="20" t="n">
        <v>46305</v>
      </c>
    </row>
    <row r="72" customFormat="false" ht="15" hidden="false" customHeight="true" outlineLevel="0" collapsed="false">
      <c r="A72" s="17" t="s">
        <v>487</v>
      </c>
      <c r="B72" s="17" t="s">
        <v>488</v>
      </c>
      <c r="C72" s="17" t="s">
        <v>448</v>
      </c>
      <c r="D72" s="17" t="s">
        <v>449</v>
      </c>
      <c r="E72" s="17" t="n">
        <v>26.6</v>
      </c>
      <c r="F72" s="17" t="s">
        <v>489</v>
      </c>
      <c r="G72" s="17" t="s">
        <v>441</v>
      </c>
      <c r="H72" s="20" t="n">
        <v>46305</v>
      </c>
    </row>
    <row r="73" customFormat="false" ht="15" hidden="false" customHeight="true" outlineLevel="0" collapsed="false">
      <c r="A73" s="17" t="s">
        <v>490</v>
      </c>
      <c r="B73" s="17" t="s">
        <v>491</v>
      </c>
      <c r="C73" s="17" t="s">
        <v>437</v>
      </c>
      <c r="D73" s="17" t="s">
        <v>438</v>
      </c>
      <c r="E73" s="17" t="s">
        <v>439</v>
      </c>
      <c r="F73" s="17" t="s">
        <v>492</v>
      </c>
      <c r="G73" s="17" t="s">
        <v>441</v>
      </c>
      <c r="H73" s="20" t="n">
        <v>46313</v>
      </c>
    </row>
    <row r="74" customFormat="false" ht="15" hidden="false" customHeight="true" outlineLevel="0" collapsed="false">
      <c r="A74" s="17" t="s">
        <v>490</v>
      </c>
      <c r="B74" s="17" t="s">
        <v>491</v>
      </c>
      <c r="C74" s="17" t="s">
        <v>442</v>
      </c>
      <c r="D74" s="17" t="s">
        <v>443</v>
      </c>
      <c r="E74" s="17" t="s">
        <v>439</v>
      </c>
      <c r="F74" s="17" t="s">
        <v>492</v>
      </c>
      <c r="G74" s="17" t="s">
        <v>441</v>
      </c>
      <c r="H74" s="20" t="n">
        <v>46313</v>
      </c>
    </row>
    <row r="75" customFormat="false" ht="15" hidden="false" customHeight="true" outlineLevel="0" collapsed="false">
      <c r="A75" s="17" t="s">
        <v>490</v>
      </c>
      <c r="B75" s="17" t="s">
        <v>491</v>
      </c>
      <c r="C75" s="17" t="s">
        <v>444</v>
      </c>
      <c r="D75" s="17" t="s">
        <v>445</v>
      </c>
      <c r="E75" s="17" t="s">
        <v>439</v>
      </c>
      <c r="F75" s="17" t="s">
        <v>492</v>
      </c>
      <c r="G75" s="17" t="s">
        <v>441</v>
      </c>
      <c r="H75" s="20" t="n">
        <v>46313</v>
      </c>
    </row>
    <row r="76" customFormat="false" ht="15" hidden="false" customHeight="true" outlineLevel="0" collapsed="false">
      <c r="A76" s="17" t="s">
        <v>490</v>
      </c>
      <c r="B76" s="17" t="s">
        <v>491</v>
      </c>
      <c r="C76" s="17" t="s">
        <v>446</v>
      </c>
      <c r="D76" s="17" t="s">
        <v>447</v>
      </c>
      <c r="E76" s="17" t="s">
        <v>439</v>
      </c>
      <c r="F76" s="17" t="s">
        <v>492</v>
      </c>
      <c r="G76" s="17" t="s">
        <v>441</v>
      </c>
      <c r="H76" s="20" t="n">
        <v>46313</v>
      </c>
    </row>
    <row r="77" customFormat="false" ht="15" hidden="false" customHeight="true" outlineLevel="0" collapsed="false">
      <c r="A77" s="17" t="s">
        <v>490</v>
      </c>
      <c r="B77" s="17" t="s">
        <v>491</v>
      </c>
      <c r="C77" s="17" t="s">
        <v>448</v>
      </c>
      <c r="D77" s="17" t="s">
        <v>449</v>
      </c>
      <c r="E77" s="17" t="n">
        <v>37</v>
      </c>
      <c r="F77" s="17" t="s">
        <v>492</v>
      </c>
      <c r="G77" s="17" t="s">
        <v>441</v>
      </c>
      <c r="H77" s="20" t="n">
        <v>46313</v>
      </c>
    </row>
    <row r="78" customFormat="false" ht="15" hidden="false" customHeight="true" outlineLevel="0" collapsed="false">
      <c r="A78" s="17" t="s">
        <v>493</v>
      </c>
      <c r="B78" s="17" t="s">
        <v>494</v>
      </c>
      <c r="C78" s="17" t="s">
        <v>437</v>
      </c>
      <c r="D78" s="17" t="s">
        <v>438</v>
      </c>
      <c r="E78" s="17" t="s">
        <v>439</v>
      </c>
      <c r="F78" s="17" t="s">
        <v>495</v>
      </c>
      <c r="G78" s="17" t="s">
        <v>465</v>
      </c>
      <c r="H78" s="20" t="n">
        <v>46308</v>
      </c>
    </row>
    <row r="79" customFormat="false" ht="15" hidden="false" customHeight="true" outlineLevel="0" collapsed="false">
      <c r="A79" s="17" t="s">
        <v>493</v>
      </c>
      <c r="B79" s="17" t="s">
        <v>494</v>
      </c>
      <c r="C79" s="17" t="s">
        <v>442</v>
      </c>
      <c r="D79" s="17" t="s">
        <v>443</v>
      </c>
      <c r="E79" s="17" t="s">
        <v>439</v>
      </c>
      <c r="F79" s="17" t="s">
        <v>495</v>
      </c>
      <c r="G79" s="17" t="s">
        <v>465</v>
      </c>
      <c r="H79" s="20" t="n">
        <v>46308</v>
      </c>
    </row>
    <row r="80" customFormat="false" ht="15" hidden="false" customHeight="true" outlineLevel="0" collapsed="false">
      <c r="A80" s="17" t="s">
        <v>493</v>
      </c>
      <c r="B80" s="17" t="s">
        <v>494</v>
      </c>
      <c r="C80" s="17" t="s">
        <v>444</v>
      </c>
      <c r="D80" s="17" t="s">
        <v>445</v>
      </c>
      <c r="E80" s="17" t="n">
        <v>31.3</v>
      </c>
      <c r="F80" s="17" t="s">
        <v>495</v>
      </c>
      <c r="G80" s="17" t="s">
        <v>465</v>
      </c>
      <c r="H80" s="20" t="n">
        <v>46308</v>
      </c>
    </row>
    <row r="81" customFormat="false" ht="15" hidden="false" customHeight="true" outlineLevel="0" collapsed="false">
      <c r="A81" s="17" t="s">
        <v>493</v>
      </c>
      <c r="B81" s="17" t="s">
        <v>494</v>
      </c>
      <c r="C81" s="17" t="s">
        <v>446</v>
      </c>
      <c r="D81" s="17" t="s">
        <v>447</v>
      </c>
      <c r="E81" s="17" t="s">
        <v>439</v>
      </c>
      <c r="F81" s="17" t="s">
        <v>495</v>
      </c>
      <c r="G81" s="17" t="s">
        <v>465</v>
      </c>
      <c r="H81" s="20" t="n">
        <v>46308</v>
      </c>
    </row>
    <row r="82" customFormat="false" ht="15" hidden="false" customHeight="true" outlineLevel="0" collapsed="false">
      <c r="A82" s="17" t="s">
        <v>493</v>
      </c>
      <c r="B82" s="17" t="s">
        <v>494</v>
      </c>
      <c r="C82" s="17" t="s">
        <v>448</v>
      </c>
      <c r="D82" s="17" t="s">
        <v>449</v>
      </c>
      <c r="E82" s="17" t="n">
        <v>23</v>
      </c>
      <c r="F82" s="17" t="s">
        <v>495</v>
      </c>
      <c r="G82" s="17" t="s">
        <v>465</v>
      </c>
      <c r="H82" s="20" t="n">
        <v>46308</v>
      </c>
    </row>
    <row r="83" customFormat="false" ht="15" hidden="false" customHeight="true" outlineLevel="0" collapsed="false">
      <c r="A83" s="17" t="s">
        <v>496</v>
      </c>
      <c r="B83" s="17" t="s">
        <v>497</v>
      </c>
      <c r="C83" s="17" t="s">
        <v>437</v>
      </c>
      <c r="D83" s="17" t="s">
        <v>438</v>
      </c>
      <c r="E83" s="17" t="s">
        <v>439</v>
      </c>
      <c r="F83" s="17" t="s">
        <v>498</v>
      </c>
      <c r="G83" s="17" t="s">
        <v>441</v>
      </c>
      <c r="H83" s="20" t="n">
        <v>46305</v>
      </c>
    </row>
    <row r="84" customFormat="false" ht="15" hidden="false" customHeight="true" outlineLevel="0" collapsed="false">
      <c r="A84" s="17" t="s">
        <v>496</v>
      </c>
      <c r="B84" s="17" t="s">
        <v>497</v>
      </c>
      <c r="C84" s="17" t="s">
        <v>442</v>
      </c>
      <c r="D84" s="17" t="s">
        <v>443</v>
      </c>
      <c r="E84" s="17" t="s">
        <v>439</v>
      </c>
      <c r="F84" s="17" t="s">
        <v>498</v>
      </c>
      <c r="G84" s="17" t="s">
        <v>441</v>
      </c>
      <c r="H84" s="20" t="n">
        <v>46305</v>
      </c>
    </row>
    <row r="85" customFormat="false" ht="15" hidden="false" customHeight="true" outlineLevel="0" collapsed="false">
      <c r="A85" s="17" t="s">
        <v>496</v>
      </c>
      <c r="B85" s="17" t="s">
        <v>497</v>
      </c>
      <c r="C85" s="17" t="s">
        <v>444</v>
      </c>
      <c r="D85" s="17" t="s">
        <v>445</v>
      </c>
      <c r="E85" s="17" t="s">
        <v>439</v>
      </c>
      <c r="F85" s="17" t="s">
        <v>498</v>
      </c>
      <c r="G85" s="17" t="s">
        <v>441</v>
      </c>
      <c r="H85" s="20" t="n">
        <v>46305</v>
      </c>
    </row>
    <row r="86" customFormat="false" ht="15" hidden="false" customHeight="true" outlineLevel="0" collapsed="false">
      <c r="A86" s="17" t="s">
        <v>496</v>
      </c>
      <c r="B86" s="17" t="s">
        <v>497</v>
      </c>
      <c r="C86" s="17" t="s">
        <v>446</v>
      </c>
      <c r="D86" s="17" t="s">
        <v>447</v>
      </c>
      <c r="E86" s="17" t="s">
        <v>439</v>
      </c>
      <c r="F86" s="17" t="s">
        <v>498</v>
      </c>
      <c r="G86" s="17" t="s">
        <v>441</v>
      </c>
      <c r="H86" s="20" t="n">
        <v>46305</v>
      </c>
    </row>
    <row r="87" customFormat="false" ht="15" hidden="false" customHeight="true" outlineLevel="0" collapsed="false">
      <c r="A87" s="17" t="s">
        <v>496</v>
      </c>
      <c r="B87" s="17" t="s">
        <v>497</v>
      </c>
      <c r="C87" s="17" t="s">
        <v>448</v>
      </c>
      <c r="D87" s="17" t="s">
        <v>449</v>
      </c>
      <c r="E87" s="17" t="n">
        <v>30.2</v>
      </c>
      <c r="F87" s="17" t="s">
        <v>498</v>
      </c>
      <c r="G87" s="17" t="s">
        <v>441</v>
      </c>
      <c r="H87" s="20" t="n">
        <v>46305</v>
      </c>
    </row>
    <row r="88" customFormat="false" ht="15" hidden="false" customHeight="true" outlineLevel="0" collapsed="false">
      <c r="A88" s="17" t="s">
        <v>499</v>
      </c>
      <c r="B88" s="17" t="s">
        <v>500</v>
      </c>
      <c r="C88" s="17" t="s">
        <v>437</v>
      </c>
      <c r="D88" s="17" t="s">
        <v>438</v>
      </c>
      <c r="E88" s="17" t="s">
        <v>439</v>
      </c>
      <c r="F88" s="17" t="s">
        <v>501</v>
      </c>
      <c r="G88" s="17" t="s">
        <v>441</v>
      </c>
      <c r="H88" s="20" t="n">
        <v>46311</v>
      </c>
    </row>
    <row r="89" customFormat="false" ht="15" hidden="false" customHeight="true" outlineLevel="0" collapsed="false">
      <c r="A89" s="17" t="s">
        <v>499</v>
      </c>
      <c r="B89" s="17" t="s">
        <v>500</v>
      </c>
      <c r="C89" s="17" t="s">
        <v>442</v>
      </c>
      <c r="D89" s="17" t="s">
        <v>443</v>
      </c>
      <c r="E89" s="17" t="s">
        <v>439</v>
      </c>
      <c r="F89" s="17" t="s">
        <v>501</v>
      </c>
      <c r="G89" s="17" t="s">
        <v>441</v>
      </c>
      <c r="H89" s="20" t="n">
        <v>46311</v>
      </c>
    </row>
    <row r="90" customFormat="false" ht="15" hidden="false" customHeight="true" outlineLevel="0" collapsed="false">
      <c r="A90" s="17" t="s">
        <v>499</v>
      </c>
      <c r="B90" s="17" t="s">
        <v>500</v>
      </c>
      <c r="C90" s="17" t="s">
        <v>444</v>
      </c>
      <c r="D90" s="17" t="s">
        <v>445</v>
      </c>
      <c r="E90" s="17" t="s">
        <v>439</v>
      </c>
      <c r="F90" s="17" t="s">
        <v>501</v>
      </c>
      <c r="G90" s="17" t="s">
        <v>441</v>
      </c>
      <c r="H90" s="20" t="n">
        <v>46311</v>
      </c>
    </row>
    <row r="91" customFormat="false" ht="15" hidden="false" customHeight="true" outlineLevel="0" collapsed="false">
      <c r="A91" s="17" t="s">
        <v>499</v>
      </c>
      <c r="B91" s="17" t="s">
        <v>500</v>
      </c>
      <c r="C91" s="17" t="s">
        <v>446</v>
      </c>
      <c r="D91" s="17" t="s">
        <v>447</v>
      </c>
      <c r="E91" s="17" t="s">
        <v>439</v>
      </c>
      <c r="F91" s="17" t="s">
        <v>501</v>
      </c>
      <c r="G91" s="17" t="s">
        <v>441</v>
      </c>
      <c r="H91" s="20" t="n">
        <v>46311</v>
      </c>
    </row>
    <row r="92" customFormat="false" ht="15" hidden="false" customHeight="true" outlineLevel="0" collapsed="false">
      <c r="A92" s="17" t="s">
        <v>499</v>
      </c>
      <c r="B92" s="17" t="s">
        <v>500</v>
      </c>
      <c r="C92" s="17" t="s">
        <v>448</v>
      </c>
      <c r="D92" s="17" t="s">
        <v>449</v>
      </c>
      <c r="E92" s="17" t="n">
        <v>24.9</v>
      </c>
      <c r="F92" s="17" t="s">
        <v>501</v>
      </c>
      <c r="G92" s="17" t="s">
        <v>441</v>
      </c>
      <c r="H92" s="20" t="n">
        <v>46311</v>
      </c>
    </row>
    <row r="93" customFormat="false" ht="15" hidden="false" customHeight="true" outlineLevel="0" collapsed="false">
      <c r="A93" s="17" t="s">
        <v>502</v>
      </c>
      <c r="B93" s="17" t="s">
        <v>503</v>
      </c>
      <c r="C93" s="17" t="s">
        <v>437</v>
      </c>
      <c r="D93" s="17" t="s">
        <v>438</v>
      </c>
      <c r="E93" s="17" t="s">
        <v>439</v>
      </c>
      <c r="F93" s="17" t="s">
        <v>504</v>
      </c>
      <c r="G93" s="17" t="s">
        <v>465</v>
      </c>
      <c r="H93" s="20" t="n">
        <v>46309</v>
      </c>
    </row>
    <row r="94" customFormat="false" ht="15" hidden="false" customHeight="true" outlineLevel="0" collapsed="false">
      <c r="A94" s="17" t="s">
        <v>502</v>
      </c>
      <c r="B94" s="17" t="s">
        <v>503</v>
      </c>
      <c r="C94" s="17" t="s">
        <v>442</v>
      </c>
      <c r="D94" s="17" t="s">
        <v>443</v>
      </c>
      <c r="E94" s="17" t="s">
        <v>439</v>
      </c>
      <c r="F94" s="17" t="s">
        <v>504</v>
      </c>
      <c r="G94" s="17" t="s">
        <v>465</v>
      </c>
      <c r="H94" s="20" t="n">
        <v>46309</v>
      </c>
    </row>
    <row r="95" customFormat="false" ht="15" hidden="false" customHeight="true" outlineLevel="0" collapsed="false">
      <c r="A95" s="17" t="s">
        <v>502</v>
      </c>
      <c r="B95" s="17" t="s">
        <v>503</v>
      </c>
      <c r="C95" s="17" t="s">
        <v>444</v>
      </c>
      <c r="D95" s="17" t="s">
        <v>445</v>
      </c>
      <c r="E95" s="17" t="s">
        <v>439</v>
      </c>
      <c r="F95" s="17" t="s">
        <v>504</v>
      </c>
      <c r="G95" s="17" t="s">
        <v>465</v>
      </c>
      <c r="H95" s="20" t="n">
        <v>46309</v>
      </c>
    </row>
    <row r="96" customFormat="false" ht="15" hidden="false" customHeight="true" outlineLevel="0" collapsed="false">
      <c r="A96" s="17" t="s">
        <v>502</v>
      </c>
      <c r="B96" s="17" t="s">
        <v>503</v>
      </c>
      <c r="C96" s="17" t="s">
        <v>446</v>
      </c>
      <c r="D96" s="17" t="s">
        <v>447</v>
      </c>
      <c r="E96" s="17" t="n">
        <v>23.1</v>
      </c>
      <c r="F96" s="17" t="s">
        <v>504</v>
      </c>
      <c r="G96" s="17" t="s">
        <v>465</v>
      </c>
      <c r="H96" s="20" t="n">
        <v>46309</v>
      </c>
    </row>
    <row r="97" customFormat="false" ht="15" hidden="false" customHeight="true" outlineLevel="0" collapsed="false">
      <c r="A97" s="17" t="s">
        <v>502</v>
      </c>
      <c r="B97" s="17" t="s">
        <v>503</v>
      </c>
      <c r="C97" s="17" t="s">
        <v>448</v>
      </c>
      <c r="D97" s="17" t="s">
        <v>449</v>
      </c>
      <c r="E97" s="17" t="n">
        <v>25.4</v>
      </c>
      <c r="F97" s="17" t="s">
        <v>504</v>
      </c>
      <c r="G97" s="17" t="s">
        <v>465</v>
      </c>
      <c r="H97" s="20" t="n">
        <v>46309</v>
      </c>
    </row>
    <row r="98" customFormat="false" ht="15" hidden="false" customHeight="true" outlineLevel="0" collapsed="false">
      <c r="A98" s="17" t="s">
        <v>505</v>
      </c>
      <c r="B98" s="17" t="s">
        <v>506</v>
      </c>
      <c r="C98" s="17" t="s">
        <v>437</v>
      </c>
      <c r="D98" s="17" t="s">
        <v>438</v>
      </c>
      <c r="E98" s="17" t="s">
        <v>439</v>
      </c>
      <c r="F98" s="17" t="s">
        <v>507</v>
      </c>
      <c r="G98" s="17" t="s">
        <v>465</v>
      </c>
      <c r="H98" s="20" t="n">
        <v>46308</v>
      </c>
    </row>
    <row r="99" customFormat="false" ht="15" hidden="false" customHeight="true" outlineLevel="0" collapsed="false">
      <c r="A99" s="17" t="s">
        <v>505</v>
      </c>
      <c r="B99" s="17" t="s">
        <v>506</v>
      </c>
      <c r="C99" s="17" t="s">
        <v>442</v>
      </c>
      <c r="D99" s="17" t="s">
        <v>443</v>
      </c>
      <c r="E99" s="17" t="s">
        <v>439</v>
      </c>
      <c r="F99" s="17" t="s">
        <v>507</v>
      </c>
      <c r="G99" s="17" t="s">
        <v>465</v>
      </c>
      <c r="H99" s="20" t="n">
        <v>46308</v>
      </c>
    </row>
    <row r="100" customFormat="false" ht="15" hidden="false" customHeight="true" outlineLevel="0" collapsed="false">
      <c r="A100" s="17" t="s">
        <v>505</v>
      </c>
      <c r="B100" s="17" t="s">
        <v>506</v>
      </c>
      <c r="C100" s="17" t="s">
        <v>444</v>
      </c>
      <c r="D100" s="17" t="s">
        <v>445</v>
      </c>
      <c r="E100" s="17" t="s">
        <v>439</v>
      </c>
      <c r="F100" s="17" t="s">
        <v>507</v>
      </c>
      <c r="G100" s="17" t="s">
        <v>465</v>
      </c>
      <c r="H100" s="20" t="n">
        <v>46308</v>
      </c>
    </row>
    <row r="101" customFormat="false" ht="15" hidden="false" customHeight="true" outlineLevel="0" collapsed="false">
      <c r="A101" s="17" t="s">
        <v>505</v>
      </c>
      <c r="B101" s="17" t="s">
        <v>506</v>
      </c>
      <c r="C101" s="17" t="s">
        <v>446</v>
      </c>
      <c r="D101" s="17" t="s">
        <v>447</v>
      </c>
      <c r="E101" s="17" t="s">
        <v>439</v>
      </c>
      <c r="F101" s="17" t="s">
        <v>507</v>
      </c>
      <c r="G101" s="17" t="s">
        <v>465</v>
      </c>
      <c r="H101" s="20" t="n">
        <v>46308</v>
      </c>
    </row>
    <row r="102" customFormat="false" ht="15" hidden="false" customHeight="true" outlineLevel="0" collapsed="false">
      <c r="A102" s="17" t="s">
        <v>505</v>
      </c>
      <c r="B102" s="17" t="s">
        <v>506</v>
      </c>
      <c r="C102" s="17" t="s">
        <v>448</v>
      </c>
      <c r="D102" s="17" t="s">
        <v>449</v>
      </c>
      <c r="E102" s="17" t="n">
        <v>22.1</v>
      </c>
      <c r="F102" s="17" t="s">
        <v>507</v>
      </c>
      <c r="G102" s="17" t="s">
        <v>465</v>
      </c>
      <c r="H102" s="20" t="n">
        <v>46308</v>
      </c>
    </row>
    <row r="103" customFormat="false" ht="15" hidden="false" customHeight="true" outlineLevel="0" collapsed="false">
      <c r="A103" s="17" t="s">
        <v>508</v>
      </c>
      <c r="B103" s="17" t="s">
        <v>509</v>
      </c>
      <c r="C103" s="17" t="s">
        <v>437</v>
      </c>
      <c r="D103" s="17" t="s">
        <v>438</v>
      </c>
      <c r="E103" s="17" t="n">
        <v>22.3</v>
      </c>
      <c r="F103" s="17" t="s">
        <v>510</v>
      </c>
      <c r="G103" s="17" t="s">
        <v>441</v>
      </c>
      <c r="H103" s="20" t="n">
        <v>46309</v>
      </c>
    </row>
    <row r="104" customFormat="false" ht="15" hidden="false" customHeight="true" outlineLevel="0" collapsed="false">
      <c r="A104" s="17" t="s">
        <v>508</v>
      </c>
      <c r="B104" s="17" t="s">
        <v>509</v>
      </c>
      <c r="C104" s="17" t="s">
        <v>442</v>
      </c>
      <c r="D104" s="17" t="s">
        <v>443</v>
      </c>
      <c r="E104" s="17" t="s">
        <v>439</v>
      </c>
      <c r="F104" s="17" t="s">
        <v>510</v>
      </c>
      <c r="G104" s="17" t="s">
        <v>441</v>
      </c>
      <c r="H104" s="20" t="n">
        <v>46309</v>
      </c>
    </row>
    <row r="105" customFormat="false" ht="15" hidden="false" customHeight="true" outlineLevel="0" collapsed="false">
      <c r="A105" s="17" t="s">
        <v>508</v>
      </c>
      <c r="B105" s="17" t="s">
        <v>509</v>
      </c>
      <c r="C105" s="17" t="s">
        <v>444</v>
      </c>
      <c r="D105" s="17" t="s">
        <v>445</v>
      </c>
      <c r="E105" s="17" t="s">
        <v>439</v>
      </c>
      <c r="F105" s="17" t="s">
        <v>510</v>
      </c>
      <c r="G105" s="17" t="s">
        <v>441</v>
      </c>
      <c r="H105" s="20" t="n">
        <v>46309</v>
      </c>
    </row>
    <row r="106" customFormat="false" ht="15" hidden="false" customHeight="true" outlineLevel="0" collapsed="false">
      <c r="A106" s="17" t="s">
        <v>508</v>
      </c>
      <c r="B106" s="17" t="s">
        <v>509</v>
      </c>
      <c r="C106" s="17" t="s">
        <v>446</v>
      </c>
      <c r="D106" s="17" t="s">
        <v>447</v>
      </c>
      <c r="E106" s="17" t="s">
        <v>439</v>
      </c>
      <c r="F106" s="17" t="s">
        <v>510</v>
      </c>
      <c r="G106" s="17" t="s">
        <v>441</v>
      </c>
      <c r="H106" s="20" t="n">
        <v>46309</v>
      </c>
    </row>
    <row r="107" customFormat="false" ht="15" hidden="false" customHeight="true" outlineLevel="0" collapsed="false">
      <c r="A107" s="17" t="s">
        <v>508</v>
      </c>
      <c r="B107" s="17" t="s">
        <v>509</v>
      </c>
      <c r="C107" s="17" t="s">
        <v>448</v>
      </c>
      <c r="D107" s="17" t="s">
        <v>449</v>
      </c>
      <c r="E107" s="17" t="n">
        <v>28.9</v>
      </c>
      <c r="F107" s="17" t="s">
        <v>510</v>
      </c>
      <c r="G107" s="17" t="s">
        <v>441</v>
      </c>
      <c r="H107" s="20" t="n">
        <v>46309</v>
      </c>
    </row>
    <row r="108" customFormat="false" ht="15" hidden="false" customHeight="true" outlineLevel="0" collapsed="false">
      <c r="A108" s="17" t="s">
        <v>511</v>
      </c>
      <c r="B108" s="17" t="s">
        <v>512</v>
      </c>
      <c r="C108" s="17" t="s">
        <v>437</v>
      </c>
      <c r="D108" s="17" t="s">
        <v>438</v>
      </c>
      <c r="E108" s="17" t="s">
        <v>439</v>
      </c>
      <c r="F108" s="17" t="s">
        <v>513</v>
      </c>
      <c r="G108" s="17" t="s">
        <v>441</v>
      </c>
      <c r="H108" s="20" t="n">
        <v>46309</v>
      </c>
    </row>
    <row r="109" customFormat="false" ht="15" hidden="false" customHeight="true" outlineLevel="0" collapsed="false">
      <c r="A109" s="17" t="s">
        <v>511</v>
      </c>
      <c r="B109" s="17" t="s">
        <v>512</v>
      </c>
      <c r="C109" s="17" t="s">
        <v>442</v>
      </c>
      <c r="D109" s="17" t="s">
        <v>443</v>
      </c>
      <c r="E109" s="17" t="s">
        <v>439</v>
      </c>
      <c r="F109" s="17" t="s">
        <v>513</v>
      </c>
      <c r="G109" s="17" t="s">
        <v>441</v>
      </c>
      <c r="H109" s="20" t="n">
        <v>46309</v>
      </c>
    </row>
    <row r="110" customFormat="false" ht="15" hidden="false" customHeight="true" outlineLevel="0" collapsed="false">
      <c r="A110" s="17" t="s">
        <v>511</v>
      </c>
      <c r="B110" s="17" t="s">
        <v>512</v>
      </c>
      <c r="C110" s="17" t="s">
        <v>444</v>
      </c>
      <c r="D110" s="17" t="s">
        <v>445</v>
      </c>
      <c r="E110" s="17" t="n">
        <v>29.4</v>
      </c>
      <c r="F110" s="17" t="s">
        <v>513</v>
      </c>
      <c r="G110" s="17" t="s">
        <v>441</v>
      </c>
      <c r="H110" s="20" t="n">
        <v>46309</v>
      </c>
    </row>
    <row r="111" customFormat="false" ht="15" hidden="false" customHeight="true" outlineLevel="0" collapsed="false">
      <c r="A111" s="17" t="s">
        <v>511</v>
      </c>
      <c r="B111" s="17" t="s">
        <v>512</v>
      </c>
      <c r="C111" s="17" t="s">
        <v>446</v>
      </c>
      <c r="D111" s="17" t="s">
        <v>447</v>
      </c>
      <c r="E111" s="17" t="s">
        <v>439</v>
      </c>
      <c r="F111" s="17" t="s">
        <v>513</v>
      </c>
      <c r="G111" s="17" t="s">
        <v>441</v>
      </c>
      <c r="H111" s="20" t="n">
        <v>46309</v>
      </c>
    </row>
    <row r="112" customFormat="false" ht="15" hidden="false" customHeight="true" outlineLevel="0" collapsed="false">
      <c r="A112" s="17" t="s">
        <v>511</v>
      </c>
      <c r="B112" s="17" t="s">
        <v>512</v>
      </c>
      <c r="C112" s="17" t="s">
        <v>448</v>
      </c>
      <c r="D112" s="17" t="s">
        <v>449</v>
      </c>
      <c r="E112" s="17" t="n">
        <v>29.3</v>
      </c>
      <c r="F112" s="17" t="s">
        <v>513</v>
      </c>
      <c r="G112" s="17" t="s">
        <v>441</v>
      </c>
      <c r="H112" s="20" t="n">
        <v>46309</v>
      </c>
    </row>
    <row r="113" customFormat="false" ht="15" hidden="false" customHeight="true" outlineLevel="0" collapsed="false">
      <c r="A113" s="17" t="s">
        <v>514</v>
      </c>
      <c r="B113" s="17" t="s">
        <v>515</v>
      </c>
      <c r="C113" s="17" t="s">
        <v>437</v>
      </c>
      <c r="D113" s="17" t="s">
        <v>438</v>
      </c>
      <c r="E113" s="17" t="s">
        <v>439</v>
      </c>
      <c r="F113" s="17" t="s">
        <v>516</v>
      </c>
      <c r="G113" s="17" t="s">
        <v>465</v>
      </c>
      <c r="H113" s="20" t="n">
        <v>46313</v>
      </c>
    </row>
    <row r="114" customFormat="false" ht="15" hidden="false" customHeight="true" outlineLevel="0" collapsed="false">
      <c r="A114" s="17" t="s">
        <v>514</v>
      </c>
      <c r="B114" s="17" t="s">
        <v>515</v>
      </c>
      <c r="C114" s="17" t="s">
        <v>442</v>
      </c>
      <c r="D114" s="17" t="s">
        <v>443</v>
      </c>
      <c r="E114" s="17" t="s">
        <v>439</v>
      </c>
      <c r="F114" s="17" t="s">
        <v>516</v>
      </c>
      <c r="G114" s="17" t="s">
        <v>465</v>
      </c>
      <c r="H114" s="20" t="n">
        <v>46313</v>
      </c>
    </row>
    <row r="115" customFormat="false" ht="15" hidden="false" customHeight="true" outlineLevel="0" collapsed="false">
      <c r="A115" s="17" t="s">
        <v>514</v>
      </c>
      <c r="B115" s="17" t="s">
        <v>515</v>
      </c>
      <c r="C115" s="17" t="s">
        <v>444</v>
      </c>
      <c r="D115" s="17" t="s">
        <v>445</v>
      </c>
      <c r="E115" s="17" t="s">
        <v>439</v>
      </c>
      <c r="F115" s="17" t="s">
        <v>516</v>
      </c>
      <c r="G115" s="17" t="s">
        <v>465</v>
      </c>
      <c r="H115" s="20" t="n">
        <v>46313</v>
      </c>
    </row>
    <row r="116" customFormat="false" ht="15" hidden="false" customHeight="true" outlineLevel="0" collapsed="false">
      <c r="A116" s="17" t="s">
        <v>514</v>
      </c>
      <c r="B116" s="17" t="s">
        <v>515</v>
      </c>
      <c r="C116" s="17" t="s">
        <v>446</v>
      </c>
      <c r="D116" s="17" t="s">
        <v>447</v>
      </c>
      <c r="E116" s="17" t="s">
        <v>439</v>
      </c>
      <c r="F116" s="17" t="s">
        <v>516</v>
      </c>
      <c r="G116" s="17" t="s">
        <v>465</v>
      </c>
      <c r="H116" s="20" t="n">
        <v>46313</v>
      </c>
    </row>
    <row r="117" customFormat="false" ht="15" hidden="false" customHeight="true" outlineLevel="0" collapsed="false">
      <c r="A117" s="17" t="s">
        <v>514</v>
      </c>
      <c r="B117" s="17" t="s">
        <v>515</v>
      </c>
      <c r="C117" s="17" t="s">
        <v>448</v>
      </c>
      <c r="D117" s="17" t="s">
        <v>449</v>
      </c>
      <c r="E117" s="17" t="n">
        <v>22.1</v>
      </c>
      <c r="F117" s="17" t="s">
        <v>516</v>
      </c>
      <c r="G117" s="17" t="s">
        <v>465</v>
      </c>
      <c r="H117" s="20" t="n">
        <v>46313</v>
      </c>
    </row>
    <row r="118" customFormat="false" ht="15" hidden="false" customHeight="true" outlineLevel="0" collapsed="false">
      <c r="A118" s="17" t="s">
        <v>517</v>
      </c>
      <c r="B118" s="17" t="s">
        <v>518</v>
      </c>
      <c r="C118" s="17" t="s">
        <v>437</v>
      </c>
      <c r="D118" s="17" t="s">
        <v>438</v>
      </c>
      <c r="E118" s="17" t="s">
        <v>439</v>
      </c>
      <c r="F118" s="17" t="s">
        <v>519</v>
      </c>
      <c r="G118" s="17" t="s">
        <v>441</v>
      </c>
      <c r="H118" s="20" t="n">
        <v>46306</v>
      </c>
    </row>
    <row r="119" customFormat="false" ht="15" hidden="false" customHeight="true" outlineLevel="0" collapsed="false">
      <c r="A119" s="17" t="s">
        <v>517</v>
      </c>
      <c r="B119" s="17" t="s">
        <v>518</v>
      </c>
      <c r="C119" s="17" t="s">
        <v>442</v>
      </c>
      <c r="D119" s="17" t="s">
        <v>443</v>
      </c>
      <c r="E119" s="17" t="s">
        <v>439</v>
      </c>
      <c r="F119" s="17" t="s">
        <v>519</v>
      </c>
      <c r="G119" s="17" t="s">
        <v>441</v>
      </c>
      <c r="H119" s="20" t="n">
        <v>46306</v>
      </c>
    </row>
    <row r="120" customFormat="false" ht="15" hidden="false" customHeight="true" outlineLevel="0" collapsed="false">
      <c r="A120" s="17" t="s">
        <v>517</v>
      </c>
      <c r="B120" s="17" t="s">
        <v>518</v>
      </c>
      <c r="C120" s="17" t="s">
        <v>444</v>
      </c>
      <c r="D120" s="17" t="s">
        <v>445</v>
      </c>
      <c r="E120" s="17" t="n">
        <v>28.6</v>
      </c>
      <c r="F120" s="17" t="s">
        <v>519</v>
      </c>
      <c r="G120" s="17" t="s">
        <v>441</v>
      </c>
      <c r="H120" s="20" t="n">
        <v>46306</v>
      </c>
    </row>
    <row r="121" customFormat="false" ht="15" hidden="false" customHeight="true" outlineLevel="0" collapsed="false">
      <c r="A121" s="17" t="s">
        <v>517</v>
      </c>
      <c r="B121" s="17" t="s">
        <v>518</v>
      </c>
      <c r="C121" s="17" t="s">
        <v>446</v>
      </c>
      <c r="D121" s="17" t="s">
        <v>447</v>
      </c>
      <c r="E121" s="17" t="s">
        <v>439</v>
      </c>
      <c r="F121" s="17" t="s">
        <v>519</v>
      </c>
      <c r="G121" s="17" t="s">
        <v>441</v>
      </c>
      <c r="H121" s="20" t="n">
        <v>46306</v>
      </c>
    </row>
    <row r="122" customFormat="false" ht="15" hidden="false" customHeight="true" outlineLevel="0" collapsed="false">
      <c r="A122" s="17" t="s">
        <v>517</v>
      </c>
      <c r="B122" s="17" t="s">
        <v>518</v>
      </c>
      <c r="C122" s="17" t="s">
        <v>448</v>
      </c>
      <c r="D122" s="17" t="s">
        <v>449</v>
      </c>
      <c r="E122" s="17" t="n">
        <v>23</v>
      </c>
      <c r="F122" s="17" t="s">
        <v>519</v>
      </c>
      <c r="G122" s="17" t="s">
        <v>441</v>
      </c>
      <c r="H122" s="20" t="n">
        <v>46306</v>
      </c>
    </row>
    <row r="123" customFormat="false" ht="15" hidden="false" customHeight="true" outlineLevel="0" collapsed="false">
      <c r="A123" s="17" t="s">
        <v>520</v>
      </c>
      <c r="B123" s="17" t="s">
        <v>521</v>
      </c>
      <c r="C123" s="17" t="s">
        <v>437</v>
      </c>
      <c r="D123" s="17" t="s">
        <v>438</v>
      </c>
      <c r="E123" s="17" t="s">
        <v>439</v>
      </c>
      <c r="F123" s="17" t="s">
        <v>522</v>
      </c>
      <c r="G123" s="17" t="s">
        <v>465</v>
      </c>
      <c r="H123" s="20" t="n">
        <v>46313</v>
      </c>
    </row>
    <row r="124" customFormat="false" ht="15" hidden="false" customHeight="true" outlineLevel="0" collapsed="false">
      <c r="A124" s="17" t="s">
        <v>520</v>
      </c>
      <c r="B124" s="17" t="s">
        <v>521</v>
      </c>
      <c r="C124" s="17" t="s">
        <v>442</v>
      </c>
      <c r="D124" s="17" t="s">
        <v>443</v>
      </c>
      <c r="E124" s="17" t="s">
        <v>439</v>
      </c>
      <c r="F124" s="17" t="s">
        <v>522</v>
      </c>
      <c r="G124" s="17" t="s">
        <v>465</v>
      </c>
      <c r="H124" s="20" t="n">
        <v>46313</v>
      </c>
    </row>
    <row r="125" customFormat="false" ht="15" hidden="false" customHeight="true" outlineLevel="0" collapsed="false">
      <c r="A125" s="17" t="s">
        <v>520</v>
      </c>
      <c r="B125" s="17" t="s">
        <v>521</v>
      </c>
      <c r="C125" s="17" t="s">
        <v>444</v>
      </c>
      <c r="D125" s="17" t="s">
        <v>445</v>
      </c>
      <c r="E125" s="17" t="s">
        <v>439</v>
      </c>
      <c r="F125" s="17" t="s">
        <v>522</v>
      </c>
      <c r="G125" s="17" t="s">
        <v>465</v>
      </c>
      <c r="H125" s="20" t="n">
        <v>46313</v>
      </c>
    </row>
    <row r="126" customFormat="false" ht="15" hidden="false" customHeight="true" outlineLevel="0" collapsed="false">
      <c r="A126" s="17" t="s">
        <v>520</v>
      </c>
      <c r="B126" s="17" t="s">
        <v>521</v>
      </c>
      <c r="C126" s="17" t="s">
        <v>446</v>
      </c>
      <c r="D126" s="17" t="s">
        <v>447</v>
      </c>
      <c r="E126" s="17" t="s">
        <v>439</v>
      </c>
      <c r="F126" s="17" t="s">
        <v>522</v>
      </c>
      <c r="G126" s="17" t="s">
        <v>465</v>
      </c>
      <c r="H126" s="20" t="n">
        <v>46313</v>
      </c>
    </row>
    <row r="127" customFormat="false" ht="15" hidden="false" customHeight="true" outlineLevel="0" collapsed="false">
      <c r="A127" s="17" t="s">
        <v>520</v>
      </c>
      <c r="B127" s="17" t="s">
        <v>521</v>
      </c>
      <c r="C127" s="17" t="s">
        <v>448</v>
      </c>
      <c r="D127" s="17" t="s">
        <v>449</v>
      </c>
      <c r="E127" s="17" t="n">
        <v>25.1</v>
      </c>
      <c r="F127" s="17" t="s">
        <v>522</v>
      </c>
      <c r="G127" s="17" t="s">
        <v>465</v>
      </c>
      <c r="H127" s="20" t="n">
        <v>46313</v>
      </c>
    </row>
    <row r="128" customFormat="false" ht="15" hidden="false" customHeight="true" outlineLevel="0" collapsed="false">
      <c r="A128" s="17" t="s">
        <v>523</v>
      </c>
      <c r="B128" s="17" t="s">
        <v>524</v>
      </c>
      <c r="C128" s="17" t="s">
        <v>437</v>
      </c>
      <c r="D128" s="17" t="s">
        <v>438</v>
      </c>
      <c r="E128" s="17" t="s">
        <v>439</v>
      </c>
      <c r="F128" s="17" t="s">
        <v>525</v>
      </c>
      <c r="G128" s="17" t="s">
        <v>441</v>
      </c>
      <c r="H128" s="20" t="n">
        <v>46308</v>
      </c>
    </row>
    <row r="129" customFormat="false" ht="15" hidden="false" customHeight="true" outlineLevel="0" collapsed="false">
      <c r="A129" s="17" t="s">
        <v>523</v>
      </c>
      <c r="B129" s="17" t="s">
        <v>524</v>
      </c>
      <c r="C129" s="17" t="s">
        <v>442</v>
      </c>
      <c r="D129" s="17" t="s">
        <v>443</v>
      </c>
      <c r="E129" s="17" t="s">
        <v>439</v>
      </c>
      <c r="F129" s="17" t="s">
        <v>525</v>
      </c>
      <c r="G129" s="17" t="s">
        <v>441</v>
      </c>
      <c r="H129" s="20" t="n">
        <v>46308</v>
      </c>
    </row>
    <row r="130" customFormat="false" ht="15" hidden="false" customHeight="true" outlineLevel="0" collapsed="false">
      <c r="A130" s="17" t="s">
        <v>523</v>
      </c>
      <c r="B130" s="17" t="s">
        <v>524</v>
      </c>
      <c r="C130" s="17" t="s">
        <v>444</v>
      </c>
      <c r="D130" s="17" t="s">
        <v>445</v>
      </c>
      <c r="E130" s="17" t="s">
        <v>439</v>
      </c>
      <c r="F130" s="17" t="s">
        <v>525</v>
      </c>
      <c r="G130" s="17" t="s">
        <v>441</v>
      </c>
      <c r="H130" s="20" t="n">
        <v>46308</v>
      </c>
    </row>
    <row r="131" customFormat="false" ht="15" hidden="false" customHeight="true" outlineLevel="0" collapsed="false">
      <c r="A131" s="17" t="s">
        <v>523</v>
      </c>
      <c r="B131" s="17" t="s">
        <v>524</v>
      </c>
      <c r="C131" s="17" t="s">
        <v>446</v>
      </c>
      <c r="D131" s="17" t="s">
        <v>447</v>
      </c>
      <c r="E131" s="17" t="s">
        <v>439</v>
      </c>
      <c r="F131" s="17" t="s">
        <v>525</v>
      </c>
      <c r="G131" s="17" t="s">
        <v>441</v>
      </c>
      <c r="H131" s="20" t="n">
        <v>46308</v>
      </c>
    </row>
    <row r="132" customFormat="false" ht="15" hidden="false" customHeight="true" outlineLevel="0" collapsed="false">
      <c r="A132" s="17" t="s">
        <v>523</v>
      </c>
      <c r="B132" s="17" t="s">
        <v>524</v>
      </c>
      <c r="C132" s="17" t="s">
        <v>448</v>
      </c>
      <c r="D132" s="17" t="s">
        <v>449</v>
      </c>
      <c r="E132" s="17" t="n">
        <v>23.2</v>
      </c>
      <c r="F132" s="17" t="s">
        <v>525</v>
      </c>
      <c r="G132" s="17" t="s">
        <v>441</v>
      </c>
      <c r="H132" s="20" t="n">
        <v>46308</v>
      </c>
    </row>
    <row r="133" customFormat="false" ht="15" hidden="false" customHeight="true" outlineLevel="0" collapsed="false">
      <c r="A133" s="17" t="s">
        <v>526</v>
      </c>
      <c r="B133" s="17" t="s">
        <v>527</v>
      </c>
      <c r="C133" s="17" t="s">
        <v>437</v>
      </c>
      <c r="D133" s="17" t="s">
        <v>438</v>
      </c>
      <c r="E133" s="17" t="s">
        <v>439</v>
      </c>
      <c r="F133" s="17" t="s">
        <v>528</v>
      </c>
      <c r="G133" s="17" t="s">
        <v>441</v>
      </c>
      <c r="H133" s="20" t="n">
        <v>46312</v>
      </c>
    </row>
    <row r="134" customFormat="false" ht="15" hidden="false" customHeight="true" outlineLevel="0" collapsed="false">
      <c r="A134" s="17" t="s">
        <v>526</v>
      </c>
      <c r="B134" s="17" t="s">
        <v>527</v>
      </c>
      <c r="C134" s="17" t="s">
        <v>442</v>
      </c>
      <c r="D134" s="17" t="s">
        <v>443</v>
      </c>
      <c r="E134" s="17" t="s">
        <v>439</v>
      </c>
      <c r="F134" s="17" t="s">
        <v>528</v>
      </c>
      <c r="G134" s="17" t="s">
        <v>441</v>
      </c>
      <c r="H134" s="20" t="n">
        <v>46312</v>
      </c>
    </row>
    <row r="135" customFormat="false" ht="15" hidden="false" customHeight="true" outlineLevel="0" collapsed="false">
      <c r="A135" s="17" t="s">
        <v>526</v>
      </c>
      <c r="B135" s="17" t="s">
        <v>527</v>
      </c>
      <c r="C135" s="17" t="s">
        <v>444</v>
      </c>
      <c r="D135" s="17" t="s">
        <v>445</v>
      </c>
      <c r="E135" s="17" t="s">
        <v>439</v>
      </c>
      <c r="F135" s="17" t="s">
        <v>528</v>
      </c>
      <c r="G135" s="17" t="s">
        <v>441</v>
      </c>
      <c r="H135" s="20" t="n">
        <v>46312</v>
      </c>
    </row>
    <row r="136" customFormat="false" ht="15" hidden="false" customHeight="true" outlineLevel="0" collapsed="false">
      <c r="A136" s="17" t="s">
        <v>526</v>
      </c>
      <c r="B136" s="17" t="s">
        <v>527</v>
      </c>
      <c r="C136" s="17" t="s">
        <v>446</v>
      </c>
      <c r="D136" s="17" t="s">
        <v>447</v>
      </c>
      <c r="E136" s="17" t="s">
        <v>439</v>
      </c>
      <c r="F136" s="17" t="s">
        <v>528</v>
      </c>
      <c r="G136" s="17" t="s">
        <v>441</v>
      </c>
      <c r="H136" s="20" t="n">
        <v>46312</v>
      </c>
    </row>
    <row r="137" customFormat="false" ht="15" hidden="false" customHeight="true" outlineLevel="0" collapsed="false">
      <c r="A137" s="17" t="s">
        <v>526</v>
      </c>
      <c r="B137" s="17" t="s">
        <v>527</v>
      </c>
      <c r="C137" s="17" t="s">
        <v>448</v>
      </c>
      <c r="D137" s="17" t="s">
        <v>449</v>
      </c>
      <c r="E137" s="17" t="n">
        <v>25.8</v>
      </c>
      <c r="F137" s="17" t="s">
        <v>528</v>
      </c>
      <c r="G137" s="17" t="s">
        <v>441</v>
      </c>
      <c r="H137" s="20" t="n">
        <v>46312</v>
      </c>
    </row>
    <row r="138" customFormat="false" ht="15" hidden="false" customHeight="true" outlineLevel="0" collapsed="false">
      <c r="A138" s="17" t="s">
        <v>529</v>
      </c>
      <c r="B138" s="17" t="s">
        <v>530</v>
      </c>
      <c r="C138" s="17" t="s">
        <v>437</v>
      </c>
      <c r="D138" s="17" t="s">
        <v>438</v>
      </c>
      <c r="E138" s="17" t="s">
        <v>439</v>
      </c>
      <c r="F138" s="17" t="s">
        <v>531</v>
      </c>
      <c r="G138" s="17" t="s">
        <v>465</v>
      </c>
      <c r="H138" s="20" t="n">
        <v>46303</v>
      </c>
    </row>
    <row r="139" customFormat="false" ht="15" hidden="false" customHeight="true" outlineLevel="0" collapsed="false">
      <c r="A139" s="17" t="s">
        <v>529</v>
      </c>
      <c r="B139" s="17" t="s">
        <v>530</v>
      </c>
      <c r="C139" s="17" t="s">
        <v>442</v>
      </c>
      <c r="D139" s="17" t="s">
        <v>443</v>
      </c>
      <c r="E139" s="17" t="s">
        <v>439</v>
      </c>
      <c r="F139" s="17" t="s">
        <v>531</v>
      </c>
      <c r="G139" s="17" t="s">
        <v>465</v>
      </c>
      <c r="H139" s="20" t="n">
        <v>46303</v>
      </c>
    </row>
    <row r="140" customFormat="false" ht="15" hidden="false" customHeight="true" outlineLevel="0" collapsed="false">
      <c r="A140" s="17" t="s">
        <v>529</v>
      </c>
      <c r="B140" s="17" t="s">
        <v>530</v>
      </c>
      <c r="C140" s="17" t="s">
        <v>444</v>
      </c>
      <c r="D140" s="17" t="s">
        <v>445</v>
      </c>
      <c r="E140" s="17" t="s">
        <v>439</v>
      </c>
      <c r="F140" s="17" t="s">
        <v>531</v>
      </c>
      <c r="G140" s="17" t="s">
        <v>465</v>
      </c>
      <c r="H140" s="20" t="n">
        <v>46303</v>
      </c>
    </row>
    <row r="141" customFormat="false" ht="15" hidden="false" customHeight="true" outlineLevel="0" collapsed="false">
      <c r="A141" s="17" t="s">
        <v>529</v>
      </c>
      <c r="B141" s="17" t="s">
        <v>530</v>
      </c>
      <c r="C141" s="17" t="s">
        <v>446</v>
      </c>
      <c r="D141" s="17" t="s">
        <v>447</v>
      </c>
      <c r="E141" s="17" t="s">
        <v>439</v>
      </c>
      <c r="F141" s="17" t="s">
        <v>531</v>
      </c>
      <c r="G141" s="17" t="s">
        <v>465</v>
      </c>
      <c r="H141" s="20" t="n">
        <v>46303</v>
      </c>
    </row>
    <row r="142" customFormat="false" ht="15" hidden="false" customHeight="true" outlineLevel="0" collapsed="false">
      <c r="A142" s="17" t="s">
        <v>529</v>
      </c>
      <c r="B142" s="17" t="s">
        <v>530</v>
      </c>
      <c r="C142" s="17" t="s">
        <v>448</v>
      </c>
      <c r="D142" s="17" t="s">
        <v>449</v>
      </c>
      <c r="E142" s="17" t="n">
        <v>27.8</v>
      </c>
      <c r="F142" s="17" t="s">
        <v>531</v>
      </c>
      <c r="G142" s="17" t="s">
        <v>465</v>
      </c>
      <c r="H142" s="20" t="n">
        <v>46303</v>
      </c>
    </row>
    <row r="143" customFormat="false" ht="15" hidden="false" customHeight="true" outlineLevel="0" collapsed="false">
      <c r="A143" s="17" t="s">
        <v>532</v>
      </c>
      <c r="B143" s="17" t="s">
        <v>533</v>
      </c>
      <c r="C143" s="17" t="s">
        <v>437</v>
      </c>
      <c r="D143" s="17" t="s">
        <v>438</v>
      </c>
      <c r="E143" s="17" t="s">
        <v>439</v>
      </c>
      <c r="F143" s="17" t="s">
        <v>534</v>
      </c>
      <c r="G143" s="17" t="s">
        <v>441</v>
      </c>
      <c r="H143" s="20" t="n">
        <v>46309</v>
      </c>
    </row>
    <row r="144" customFormat="false" ht="15" hidden="false" customHeight="true" outlineLevel="0" collapsed="false">
      <c r="A144" s="17" t="s">
        <v>532</v>
      </c>
      <c r="B144" s="17" t="s">
        <v>533</v>
      </c>
      <c r="C144" s="17" t="s">
        <v>442</v>
      </c>
      <c r="D144" s="17" t="s">
        <v>443</v>
      </c>
      <c r="E144" s="17" t="s">
        <v>439</v>
      </c>
      <c r="F144" s="17" t="s">
        <v>534</v>
      </c>
      <c r="G144" s="17" t="s">
        <v>441</v>
      </c>
      <c r="H144" s="20" t="n">
        <v>46309</v>
      </c>
    </row>
    <row r="145" customFormat="false" ht="15" hidden="false" customHeight="true" outlineLevel="0" collapsed="false">
      <c r="A145" s="17" t="s">
        <v>532</v>
      </c>
      <c r="B145" s="17" t="s">
        <v>533</v>
      </c>
      <c r="C145" s="17" t="s">
        <v>444</v>
      </c>
      <c r="D145" s="17" t="s">
        <v>445</v>
      </c>
      <c r="E145" s="17" t="s">
        <v>439</v>
      </c>
      <c r="F145" s="17" t="s">
        <v>534</v>
      </c>
      <c r="G145" s="17" t="s">
        <v>441</v>
      </c>
      <c r="H145" s="20" t="n">
        <v>46309</v>
      </c>
    </row>
    <row r="146" customFormat="false" ht="15" hidden="false" customHeight="true" outlineLevel="0" collapsed="false">
      <c r="A146" s="17" t="s">
        <v>532</v>
      </c>
      <c r="B146" s="17" t="s">
        <v>533</v>
      </c>
      <c r="C146" s="17" t="s">
        <v>446</v>
      </c>
      <c r="D146" s="17" t="s">
        <v>447</v>
      </c>
      <c r="E146" s="17" t="s">
        <v>439</v>
      </c>
      <c r="F146" s="17" t="s">
        <v>534</v>
      </c>
      <c r="G146" s="17" t="s">
        <v>441</v>
      </c>
      <c r="H146" s="20" t="n">
        <v>46309</v>
      </c>
    </row>
    <row r="147" customFormat="false" ht="15" hidden="false" customHeight="true" outlineLevel="0" collapsed="false">
      <c r="A147" s="17" t="s">
        <v>532</v>
      </c>
      <c r="B147" s="17" t="s">
        <v>533</v>
      </c>
      <c r="C147" s="17" t="s">
        <v>448</v>
      </c>
      <c r="D147" s="17" t="s">
        <v>449</v>
      </c>
      <c r="E147" s="17" t="n">
        <v>24.8</v>
      </c>
      <c r="F147" s="17" t="s">
        <v>534</v>
      </c>
      <c r="G147" s="17" t="s">
        <v>441</v>
      </c>
      <c r="H147" s="20" t="n">
        <v>46309</v>
      </c>
    </row>
    <row r="148" customFormat="false" ht="15" hidden="false" customHeight="true" outlineLevel="0" collapsed="false">
      <c r="A148" s="17" t="s">
        <v>535</v>
      </c>
      <c r="B148" s="17" t="s">
        <v>536</v>
      </c>
      <c r="C148" s="17" t="s">
        <v>437</v>
      </c>
      <c r="D148" s="17" t="s">
        <v>438</v>
      </c>
      <c r="E148" s="17" t="n">
        <v>26.2</v>
      </c>
      <c r="F148" s="17" t="s">
        <v>537</v>
      </c>
      <c r="G148" s="17" t="s">
        <v>465</v>
      </c>
      <c r="H148" s="20" t="n">
        <v>46312</v>
      </c>
    </row>
    <row r="149" customFormat="false" ht="15" hidden="false" customHeight="true" outlineLevel="0" collapsed="false">
      <c r="A149" s="17" t="s">
        <v>535</v>
      </c>
      <c r="B149" s="17" t="s">
        <v>536</v>
      </c>
      <c r="C149" s="17" t="s">
        <v>442</v>
      </c>
      <c r="D149" s="17" t="s">
        <v>443</v>
      </c>
      <c r="E149" s="17" t="s">
        <v>439</v>
      </c>
      <c r="F149" s="17" t="s">
        <v>537</v>
      </c>
      <c r="G149" s="17" t="s">
        <v>465</v>
      </c>
      <c r="H149" s="20" t="n">
        <v>46312</v>
      </c>
    </row>
    <row r="150" customFormat="false" ht="15" hidden="false" customHeight="true" outlineLevel="0" collapsed="false">
      <c r="A150" s="17" t="s">
        <v>535</v>
      </c>
      <c r="B150" s="17" t="s">
        <v>536</v>
      </c>
      <c r="C150" s="17" t="s">
        <v>444</v>
      </c>
      <c r="D150" s="17" t="s">
        <v>445</v>
      </c>
      <c r="E150" s="17" t="s">
        <v>439</v>
      </c>
      <c r="F150" s="17" t="s">
        <v>537</v>
      </c>
      <c r="G150" s="17" t="s">
        <v>465</v>
      </c>
      <c r="H150" s="20" t="n">
        <v>46312</v>
      </c>
    </row>
    <row r="151" customFormat="false" ht="15" hidden="false" customHeight="true" outlineLevel="0" collapsed="false">
      <c r="A151" s="17" t="s">
        <v>535</v>
      </c>
      <c r="B151" s="17" t="s">
        <v>536</v>
      </c>
      <c r="C151" s="17" t="s">
        <v>446</v>
      </c>
      <c r="D151" s="17" t="s">
        <v>447</v>
      </c>
      <c r="E151" s="17" t="s">
        <v>439</v>
      </c>
      <c r="F151" s="17" t="s">
        <v>537</v>
      </c>
      <c r="G151" s="17" t="s">
        <v>465</v>
      </c>
      <c r="H151" s="20" t="n">
        <v>46312</v>
      </c>
    </row>
    <row r="152" customFormat="false" ht="15" hidden="false" customHeight="true" outlineLevel="0" collapsed="false">
      <c r="A152" s="17" t="s">
        <v>535</v>
      </c>
      <c r="B152" s="17" t="s">
        <v>536</v>
      </c>
      <c r="C152" s="17" t="s">
        <v>448</v>
      </c>
      <c r="D152" s="17" t="s">
        <v>449</v>
      </c>
      <c r="E152" s="17" t="n">
        <v>27.9</v>
      </c>
      <c r="F152" s="17" t="s">
        <v>537</v>
      </c>
      <c r="G152" s="17" t="s">
        <v>465</v>
      </c>
      <c r="H152" s="20" t="n">
        <v>46312</v>
      </c>
    </row>
    <row r="153" customFormat="false" ht="15" hidden="false" customHeight="true" outlineLevel="0" collapsed="false">
      <c r="A153" s="17" t="s">
        <v>538</v>
      </c>
      <c r="B153" s="17" t="s">
        <v>539</v>
      </c>
      <c r="C153" s="17" t="s">
        <v>437</v>
      </c>
      <c r="D153" s="17" t="s">
        <v>438</v>
      </c>
      <c r="E153" s="17" t="s">
        <v>439</v>
      </c>
      <c r="F153" s="17" t="s">
        <v>540</v>
      </c>
      <c r="G153" s="17" t="s">
        <v>441</v>
      </c>
      <c r="H153" s="20" t="n">
        <v>46304</v>
      </c>
    </row>
    <row r="154" customFormat="false" ht="15" hidden="false" customHeight="true" outlineLevel="0" collapsed="false">
      <c r="A154" s="17" t="s">
        <v>538</v>
      </c>
      <c r="B154" s="17" t="s">
        <v>539</v>
      </c>
      <c r="C154" s="17" t="s">
        <v>442</v>
      </c>
      <c r="D154" s="17" t="s">
        <v>443</v>
      </c>
      <c r="E154" s="17" t="s">
        <v>439</v>
      </c>
      <c r="F154" s="17" t="s">
        <v>540</v>
      </c>
      <c r="G154" s="17" t="s">
        <v>441</v>
      </c>
      <c r="H154" s="20" t="n">
        <v>46304</v>
      </c>
    </row>
    <row r="155" customFormat="false" ht="15" hidden="false" customHeight="true" outlineLevel="0" collapsed="false">
      <c r="A155" s="17" t="s">
        <v>538</v>
      </c>
      <c r="B155" s="17" t="s">
        <v>539</v>
      </c>
      <c r="C155" s="17" t="s">
        <v>444</v>
      </c>
      <c r="D155" s="17" t="s">
        <v>445</v>
      </c>
      <c r="E155" s="17" t="s">
        <v>439</v>
      </c>
      <c r="F155" s="17" t="s">
        <v>540</v>
      </c>
      <c r="G155" s="17" t="s">
        <v>441</v>
      </c>
      <c r="H155" s="20" t="n">
        <v>46304</v>
      </c>
    </row>
    <row r="156" customFormat="false" ht="15" hidden="false" customHeight="true" outlineLevel="0" collapsed="false">
      <c r="A156" s="17" t="s">
        <v>538</v>
      </c>
      <c r="B156" s="17" t="s">
        <v>539</v>
      </c>
      <c r="C156" s="17" t="s">
        <v>446</v>
      </c>
      <c r="D156" s="17" t="s">
        <v>447</v>
      </c>
      <c r="E156" s="17" t="s">
        <v>439</v>
      </c>
      <c r="F156" s="17" t="s">
        <v>540</v>
      </c>
      <c r="G156" s="17" t="s">
        <v>441</v>
      </c>
      <c r="H156" s="20" t="n">
        <v>46304</v>
      </c>
    </row>
    <row r="157" customFormat="false" ht="15" hidden="false" customHeight="true" outlineLevel="0" collapsed="false">
      <c r="A157" s="17" t="s">
        <v>538</v>
      </c>
      <c r="B157" s="17" t="s">
        <v>539</v>
      </c>
      <c r="C157" s="17" t="s">
        <v>448</v>
      </c>
      <c r="D157" s="17" t="s">
        <v>449</v>
      </c>
      <c r="E157" s="17" t="n">
        <v>26</v>
      </c>
      <c r="F157" s="17" t="s">
        <v>540</v>
      </c>
      <c r="G157" s="17" t="s">
        <v>441</v>
      </c>
      <c r="H157" s="20" t="n">
        <v>46304</v>
      </c>
    </row>
    <row r="158" customFormat="false" ht="15" hidden="false" customHeight="true" outlineLevel="0" collapsed="false">
      <c r="A158" s="17" t="s">
        <v>541</v>
      </c>
      <c r="B158" s="17" t="s">
        <v>542</v>
      </c>
      <c r="C158" s="17" t="s">
        <v>437</v>
      </c>
      <c r="D158" s="17" t="s">
        <v>438</v>
      </c>
      <c r="E158" s="17" t="s">
        <v>439</v>
      </c>
      <c r="F158" s="17" t="s">
        <v>543</v>
      </c>
      <c r="G158" s="17" t="s">
        <v>441</v>
      </c>
      <c r="H158" s="20" t="n">
        <v>46305</v>
      </c>
    </row>
    <row r="159" customFormat="false" ht="15" hidden="false" customHeight="true" outlineLevel="0" collapsed="false">
      <c r="A159" s="17" t="s">
        <v>541</v>
      </c>
      <c r="B159" s="17" t="s">
        <v>542</v>
      </c>
      <c r="C159" s="17" t="s">
        <v>442</v>
      </c>
      <c r="D159" s="17" t="s">
        <v>443</v>
      </c>
      <c r="E159" s="17" t="s">
        <v>439</v>
      </c>
      <c r="F159" s="17" t="s">
        <v>543</v>
      </c>
      <c r="G159" s="17" t="s">
        <v>441</v>
      </c>
      <c r="H159" s="20" t="n">
        <v>46305</v>
      </c>
    </row>
    <row r="160" customFormat="false" ht="15" hidden="false" customHeight="true" outlineLevel="0" collapsed="false">
      <c r="A160" s="17" t="s">
        <v>541</v>
      </c>
      <c r="B160" s="17" t="s">
        <v>542</v>
      </c>
      <c r="C160" s="17" t="s">
        <v>444</v>
      </c>
      <c r="D160" s="17" t="s">
        <v>445</v>
      </c>
      <c r="E160" s="17" t="n">
        <v>24.7</v>
      </c>
      <c r="F160" s="17" t="s">
        <v>543</v>
      </c>
      <c r="G160" s="17" t="s">
        <v>441</v>
      </c>
      <c r="H160" s="20" t="n">
        <v>46305</v>
      </c>
    </row>
    <row r="161" customFormat="false" ht="15" hidden="false" customHeight="true" outlineLevel="0" collapsed="false">
      <c r="A161" s="17" t="s">
        <v>541</v>
      </c>
      <c r="B161" s="17" t="s">
        <v>542</v>
      </c>
      <c r="C161" s="17" t="s">
        <v>446</v>
      </c>
      <c r="D161" s="17" t="s">
        <v>447</v>
      </c>
      <c r="E161" s="17" t="s">
        <v>439</v>
      </c>
      <c r="F161" s="17" t="s">
        <v>543</v>
      </c>
      <c r="G161" s="17" t="s">
        <v>441</v>
      </c>
      <c r="H161" s="20" t="n">
        <v>46305</v>
      </c>
    </row>
    <row r="162" customFormat="false" ht="15" hidden="false" customHeight="true" outlineLevel="0" collapsed="false">
      <c r="A162" s="17" t="s">
        <v>541</v>
      </c>
      <c r="B162" s="17" t="s">
        <v>542</v>
      </c>
      <c r="C162" s="17" t="s">
        <v>448</v>
      </c>
      <c r="D162" s="17" t="s">
        <v>449</v>
      </c>
      <c r="E162" s="17" t="n">
        <v>24.9</v>
      </c>
      <c r="F162" s="17" t="s">
        <v>543</v>
      </c>
      <c r="G162" s="17" t="s">
        <v>441</v>
      </c>
      <c r="H162" s="20" t="n">
        <v>46305</v>
      </c>
    </row>
    <row r="163" customFormat="false" ht="15" hidden="false" customHeight="true" outlineLevel="0" collapsed="false">
      <c r="A163" s="17" t="s">
        <v>544</v>
      </c>
      <c r="B163" s="17" t="s">
        <v>545</v>
      </c>
      <c r="C163" s="17" t="s">
        <v>437</v>
      </c>
      <c r="D163" s="17" t="s">
        <v>438</v>
      </c>
      <c r="E163" s="17" t="s">
        <v>439</v>
      </c>
      <c r="F163" s="17" t="s">
        <v>546</v>
      </c>
      <c r="G163" s="17" t="s">
        <v>441</v>
      </c>
      <c r="H163" s="20" t="n">
        <v>46313</v>
      </c>
    </row>
    <row r="164" customFormat="false" ht="15" hidden="false" customHeight="true" outlineLevel="0" collapsed="false">
      <c r="A164" s="17" t="s">
        <v>544</v>
      </c>
      <c r="B164" s="17" t="s">
        <v>545</v>
      </c>
      <c r="C164" s="17" t="s">
        <v>442</v>
      </c>
      <c r="D164" s="17" t="s">
        <v>443</v>
      </c>
      <c r="E164" s="17" t="s">
        <v>439</v>
      </c>
      <c r="F164" s="17" t="s">
        <v>546</v>
      </c>
      <c r="G164" s="17" t="s">
        <v>441</v>
      </c>
      <c r="H164" s="20" t="n">
        <v>46313</v>
      </c>
    </row>
    <row r="165" customFormat="false" ht="15" hidden="false" customHeight="true" outlineLevel="0" collapsed="false">
      <c r="A165" s="17" t="s">
        <v>544</v>
      </c>
      <c r="B165" s="17" t="s">
        <v>545</v>
      </c>
      <c r="C165" s="17" t="s">
        <v>444</v>
      </c>
      <c r="D165" s="17" t="s">
        <v>445</v>
      </c>
      <c r="E165" s="17" t="s">
        <v>439</v>
      </c>
      <c r="F165" s="17" t="s">
        <v>546</v>
      </c>
      <c r="G165" s="17" t="s">
        <v>441</v>
      </c>
      <c r="H165" s="20" t="n">
        <v>46313</v>
      </c>
    </row>
    <row r="166" customFormat="false" ht="15" hidden="false" customHeight="true" outlineLevel="0" collapsed="false">
      <c r="A166" s="17" t="s">
        <v>544</v>
      </c>
      <c r="B166" s="17" t="s">
        <v>545</v>
      </c>
      <c r="C166" s="17" t="s">
        <v>446</v>
      </c>
      <c r="D166" s="17" t="s">
        <v>447</v>
      </c>
      <c r="E166" s="17" t="s">
        <v>439</v>
      </c>
      <c r="F166" s="17" t="s">
        <v>546</v>
      </c>
      <c r="G166" s="17" t="s">
        <v>441</v>
      </c>
      <c r="H166" s="20" t="n">
        <v>46313</v>
      </c>
    </row>
    <row r="167" customFormat="false" ht="15" hidden="false" customHeight="true" outlineLevel="0" collapsed="false">
      <c r="A167" s="17" t="s">
        <v>544</v>
      </c>
      <c r="B167" s="17" t="s">
        <v>545</v>
      </c>
      <c r="C167" s="17" t="s">
        <v>448</v>
      </c>
      <c r="D167" s="17" t="s">
        <v>449</v>
      </c>
      <c r="E167" s="17" t="n">
        <v>22.1</v>
      </c>
      <c r="F167" s="17" t="s">
        <v>546</v>
      </c>
      <c r="G167" s="17" t="s">
        <v>441</v>
      </c>
      <c r="H167" s="20" t="n">
        <v>46313</v>
      </c>
    </row>
    <row r="168" customFormat="false" ht="15" hidden="false" customHeight="true" outlineLevel="0" collapsed="false">
      <c r="A168" s="17" t="s">
        <v>547</v>
      </c>
      <c r="B168" s="17" t="s">
        <v>548</v>
      </c>
      <c r="C168" s="17" t="s">
        <v>437</v>
      </c>
      <c r="D168" s="17" t="s">
        <v>438</v>
      </c>
      <c r="E168" s="17" t="s">
        <v>439</v>
      </c>
      <c r="F168" s="17" t="s">
        <v>549</v>
      </c>
      <c r="G168" s="17" t="s">
        <v>441</v>
      </c>
      <c r="H168" s="20" t="n">
        <v>46311</v>
      </c>
    </row>
    <row r="169" customFormat="false" ht="15" hidden="false" customHeight="true" outlineLevel="0" collapsed="false">
      <c r="A169" s="17" t="s">
        <v>547</v>
      </c>
      <c r="B169" s="17" t="s">
        <v>548</v>
      </c>
      <c r="C169" s="17" t="s">
        <v>442</v>
      </c>
      <c r="D169" s="17" t="s">
        <v>443</v>
      </c>
      <c r="E169" s="17" t="s">
        <v>439</v>
      </c>
      <c r="F169" s="17" t="s">
        <v>549</v>
      </c>
      <c r="G169" s="17" t="s">
        <v>441</v>
      </c>
      <c r="H169" s="20" t="n">
        <v>46311</v>
      </c>
    </row>
    <row r="170" customFormat="false" ht="15" hidden="false" customHeight="true" outlineLevel="0" collapsed="false">
      <c r="A170" s="17" t="s">
        <v>547</v>
      </c>
      <c r="B170" s="17" t="s">
        <v>548</v>
      </c>
      <c r="C170" s="17" t="s">
        <v>444</v>
      </c>
      <c r="D170" s="17" t="s">
        <v>445</v>
      </c>
      <c r="E170" s="17" t="s">
        <v>439</v>
      </c>
      <c r="F170" s="17" t="s">
        <v>549</v>
      </c>
      <c r="G170" s="17" t="s">
        <v>441</v>
      </c>
      <c r="H170" s="20" t="n">
        <v>46311</v>
      </c>
    </row>
    <row r="171" customFormat="false" ht="15" hidden="false" customHeight="true" outlineLevel="0" collapsed="false">
      <c r="A171" s="17" t="s">
        <v>547</v>
      </c>
      <c r="B171" s="17" t="s">
        <v>548</v>
      </c>
      <c r="C171" s="17" t="s">
        <v>446</v>
      </c>
      <c r="D171" s="17" t="s">
        <v>447</v>
      </c>
      <c r="E171" s="17" t="s">
        <v>439</v>
      </c>
      <c r="F171" s="17" t="s">
        <v>549</v>
      </c>
      <c r="G171" s="17" t="s">
        <v>441</v>
      </c>
      <c r="H171" s="20" t="n">
        <v>46311</v>
      </c>
    </row>
    <row r="172" customFormat="false" ht="15" hidden="false" customHeight="true" outlineLevel="0" collapsed="false">
      <c r="A172" s="17" t="s">
        <v>547</v>
      </c>
      <c r="B172" s="17" t="s">
        <v>548</v>
      </c>
      <c r="C172" s="17" t="s">
        <v>448</v>
      </c>
      <c r="D172" s="17" t="s">
        <v>449</v>
      </c>
      <c r="E172" s="17" t="n">
        <v>26.4</v>
      </c>
      <c r="F172" s="17" t="s">
        <v>549</v>
      </c>
      <c r="G172" s="17" t="s">
        <v>441</v>
      </c>
      <c r="H172" s="20" t="n">
        <v>46311</v>
      </c>
    </row>
    <row r="173" customFormat="false" ht="15" hidden="false" customHeight="true" outlineLevel="0" collapsed="false">
      <c r="A173" s="17" t="s">
        <v>550</v>
      </c>
      <c r="B173" s="17" t="s">
        <v>551</v>
      </c>
      <c r="C173" s="17" t="s">
        <v>437</v>
      </c>
      <c r="D173" s="17" t="s">
        <v>438</v>
      </c>
      <c r="E173" s="17" t="s">
        <v>439</v>
      </c>
      <c r="F173" s="17" t="s">
        <v>552</v>
      </c>
      <c r="G173" s="17" t="s">
        <v>441</v>
      </c>
      <c r="H173" s="20" t="n">
        <v>46310</v>
      </c>
    </row>
    <row r="174" customFormat="false" ht="15" hidden="false" customHeight="true" outlineLevel="0" collapsed="false">
      <c r="A174" s="17" t="s">
        <v>550</v>
      </c>
      <c r="B174" s="17" t="s">
        <v>551</v>
      </c>
      <c r="C174" s="17" t="s">
        <v>442</v>
      </c>
      <c r="D174" s="17" t="s">
        <v>443</v>
      </c>
      <c r="E174" s="17" t="s">
        <v>439</v>
      </c>
      <c r="F174" s="17" t="s">
        <v>552</v>
      </c>
      <c r="G174" s="17" t="s">
        <v>441</v>
      </c>
      <c r="H174" s="20" t="n">
        <v>46310</v>
      </c>
    </row>
    <row r="175" customFormat="false" ht="15" hidden="false" customHeight="true" outlineLevel="0" collapsed="false">
      <c r="A175" s="17" t="s">
        <v>550</v>
      </c>
      <c r="B175" s="17" t="s">
        <v>551</v>
      </c>
      <c r="C175" s="17" t="s">
        <v>444</v>
      </c>
      <c r="D175" s="17" t="s">
        <v>445</v>
      </c>
      <c r="E175" s="17" t="s">
        <v>439</v>
      </c>
      <c r="F175" s="17" t="s">
        <v>552</v>
      </c>
      <c r="G175" s="17" t="s">
        <v>441</v>
      </c>
      <c r="H175" s="20" t="n">
        <v>46310</v>
      </c>
    </row>
    <row r="176" customFormat="false" ht="15" hidden="false" customHeight="true" outlineLevel="0" collapsed="false">
      <c r="A176" s="17" t="s">
        <v>550</v>
      </c>
      <c r="B176" s="17" t="s">
        <v>551</v>
      </c>
      <c r="C176" s="17" t="s">
        <v>446</v>
      </c>
      <c r="D176" s="17" t="s">
        <v>447</v>
      </c>
      <c r="E176" s="17" t="s">
        <v>439</v>
      </c>
      <c r="F176" s="17" t="s">
        <v>552</v>
      </c>
      <c r="G176" s="17" t="s">
        <v>441</v>
      </c>
      <c r="H176" s="20" t="n">
        <v>46310</v>
      </c>
    </row>
    <row r="177" customFormat="false" ht="15" hidden="false" customHeight="true" outlineLevel="0" collapsed="false">
      <c r="A177" s="17" t="s">
        <v>550</v>
      </c>
      <c r="B177" s="17" t="s">
        <v>551</v>
      </c>
      <c r="C177" s="17" t="s">
        <v>448</v>
      </c>
      <c r="D177" s="17" t="s">
        <v>449</v>
      </c>
      <c r="E177" s="17" t="n">
        <v>28.2</v>
      </c>
      <c r="F177" s="17" t="s">
        <v>552</v>
      </c>
      <c r="G177" s="17" t="s">
        <v>441</v>
      </c>
      <c r="H177" s="20" t="n">
        <v>46310</v>
      </c>
    </row>
    <row r="178" customFormat="false" ht="15" hidden="false" customHeight="true" outlineLevel="0" collapsed="false">
      <c r="A178" s="17" t="s">
        <v>553</v>
      </c>
      <c r="B178" s="17" t="s">
        <v>554</v>
      </c>
      <c r="C178" s="17" t="s">
        <v>437</v>
      </c>
      <c r="D178" s="17" t="s">
        <v>438</v>
      </c>
      <c r="E178" s="17" t="s">
        <v>439</v>
      </c>
      <c r="F178" s="17" t="s">
        <v>555</v>
      </c>
      <c r="G178" s="17" t="s">
        <v>441</v>
      </c>
      <c r="H178" s="20" t="n">
        <v>46314</v>
      </c>
    </row>
    <row r="179" customFormat="false" ht="15" hidden="false" customHeight="true" outlineLevel="0" collapsed="false">
      <c r="A179" s="17" t="s">
        <v>553</v>
      </c>
      <c r="B179" s="17" t="s">
        <v>554</v>
      </c>
      <c r="C179" s="17" t="s">
        <v>442</v>
      </c>
      <c r="D179" s="17" t="s">
        <v>443</v>
      </c>
      <c r="E179" s="17" t="s">
        <v>439</v>
      </c>
      <c r="F179" s="17" t="s">
        <v>555</v>
      </c>
      <c r="G179" s="17" t="s">
        <v>441</v>
      </c>
      <c r="H179" s="20" t="n">
        <v>46314</v>
      </c>
    </row>
    <row r="180" customFormat="false" ht="15" hidden="false" customHeight="true" outlineLevel="0" collapsed="false">
      <c r="A180" s="17" t="s">
        <v>553</v>
      </c>
      <c r="B180" s="17" t="s">
        <v>554</v>
      </c>
      <c r="C180" s="17" t="s">
        <v>444</v>
      </c>
      <c r="D180" s="17" t="s">
        <v>445</v>
      </c>
      <c r="E180" s="17" t="s">
        <v>439</v>
      </c>
      <c r="F180" s="17" t="s">
        <v>555</v>
      </c>
      <c r="G180" s="17" t="s">
        <v>441</v>
      </c>
      <c r="H180" s="20" t="n">
        <v>46314</v>
      </c>
    </row>
    <row r="181" customFormat="false" ht="15" hidden="false" customHeight="true" outlineLevel="0" collapsed="false">
      <c r="A181" s="17" t="s">
        <v>553</v>
      </c>
      <c r="B181" s="17" t="s">
        <v>554</v>
      </c>
      <c r="C181" s="17" t="s">
        <v>446</v>
      </c>
      <c r="D181" s="17" t="s">
        <v>447</v>
      </c>
      <c r="E181" s="17" t="s">
        <v>439</v>
      </c>
      <c r="F181" s="17" t="s">
        <v>555</v>
      </c>
      <c r="G181" s="17" t="s">
        <v>441</v>
      </c>
      <c r="H181" s="20" t="n">
        <v>46314</v>
      </c>
    </row>
    <row r="182" customFormat="false" ht="15" hidden="false" customHeight="true" outlineLevel="0" collapsed="false">
      <c r="A182" s="17" t="s">
        <v>553</v>
      </c>
      <c r="B182" s="17" t="s">
        <v>554</v>
      </c>
      <c r="C182" s="17" t="s">
        <v>448</v>
      </c>
      <c r="D182" s="17" t="s">
        <v>449</v>
      </c>
      <c r="E182" s="17" t="n">
        <v>25.6</v>
      </c>
      <c r="F182" s="17" t="s">
        <v>555</v>
      </c>
      <c r="G182" s="17" t="s">
        <v>441</v>
      </c>
      <c r="H182" s="20" t="n">
        <v>46314</v>
      </c>
    </row>
    <row r="183" customFormat="false" ht="15" hidden="false" customHeight="true" outlineLevel="0" collapsed="false">
      <c r="A183" s="17" t="s">
        <v>556</v>
      </c>
      <c r="B183" s="17" t="s">
        <v>557</v>
      </c>
      <c r="C183" s="17" t="s">
        <v>437</v>
      </c>
      <c r="D183" s="17" t="s">
        <v>438</v>
      </c>
      <c r="E183" s="17" t="s">
        <v>439</v>
      </c>
      <c r="F183" s="17" t="s">
        <v>558</v>
      </c>
      <c r="G183" s="17" t="s">
        <v>441</v>
      </c>
      <c r="H183" s="20" t="n">
        <v>46303</v>
      </c>
    </row>
    <row r="184" customFormat="false" ht="15" hidden="false" customHeight="true" outlineLevel="0" collapsed="false">
      <c r="A184" s="17" t="s">
        <v>556</v>
      </c>
      <c r="B184" s="17" t="s">
        <v>557</v>
      </c>
      <c r="C184" s="17" t="s">
        <v>442</v>
      </c>
      <c r="D184" s="17" t="s">
        <v>443</v>
      </c>
      <c r="E184" s="17" t="s">
        <v>439</v>
      </c>
      <c r="F184" s="17" t="s">
        <v>558</v>
      </c>
      <c r="G184" s="17" t="s">
        <v>441</v>
      </c>
      <c r="H184" s="20" t="n">
        <v>46303</v>
      </c>
    </row>
    <row r="185" customFormat="false" ht="15" hidden="false" customHeight="true" outlineLevel="0" collapsed="false">
      <c r="A185" s="17" t="s">
        <v>556</v>
      </c>
      <c r="B185" s="17" t="s">
        <v>557</v>
      </c>
      <c r="C185" s="17" t="s">
        <v>444</v>
      </c>
      <c r="D185" s="17" t="s">
        <v>445</v>
      </c>
      <c r="E185" s="17" t="s">
        <v>439</v>
      </c>
      <c r="F185" s="17" t="s">
        <v>558</v>
      </c>
      <c r="G185" s="17" t="s">
        <v>441</v>
      </c>
      <c r="H185" s="20" t="n">
        <v>46303</v>
      </c>
    </row>
    <row r="186" customFormat="false" ht="15" hidden="false" customHeight="true" outlineLevel="0" collapsed="false">
      <c r="A186" s="17" t="s">
        <v>556</v>
      </c>
      <c r="B186" s="17" t="s">
        <v>557</v>
      </c>
      <c r="C186" s="17" t="s">
        <v>446</v>
      </c>
      <c r="D186" s="17" t="s">
        <v>447</v>
      </c>
      <c r="E186" s="17" t="s">
        <v>439</v>
      </c>
      <c r="F186" s="17" t="s">
        <v>558</v>
      </c>
      <c r="G186" s="17" t="s">
        <v>441</v>
      </c>
      <c r="H186" s="20" t="n">
        <v>46303</v>
      </c>
    </row>
    <row r="187" customFormat="false" ht="15" hidden="false" customHeight="true" outlineLevel="0" collapsed="false">
      <c r="A187" s="17" t="s">
        <v>556</v>
      </c>
      <c r="B187" s="17" t="s">
        <v>557</v>
      </c>
      <c r="C187" s="17" t="s">
        <v>448</v>
      </c>
      <c r="D187" s="17" t="s">
        <v>449</v>
      </c>
      <c r="E187" s="17" t="n">
        <v>26.2</v>
      </c>
      <c r="F187" s="17" t="s">
        <v>558</v>
      </c>
      <c r="G187" s="17" t="s">
        <v>441</v>
      </c>
      <c r="H187" s="20" t="n">
        <v>46303</v>
      </c>
    </row>
    <row r="188" customFormat="false" ht="15" hidden="false" customHeight="true" outlineLevel="0" collapsed="false">
      <c r="A188" s="17" t="s">
        <v>559</v>
      </c>
      <c r="B188" s="17" t="s">
        <v>560</v>
      </c>
      <c r="C188" s="17" t="s">
        <v>437</v>
      </c>
      <c r="D188" s="17" t="s">
        <v>438</v>
      </c>
      <c r="E188" s="17" t="s">
        <v>439</v>
      </c>
      <c r="F188" s="17" t="s">
        <v>561</v>
      </c>
      <c r="G188" s="17" t="s">
        <v>465</v>
      </c>
      <c r="H188" s="20" t="n">
        <v>46311</v>
      </c>
    </row>
    <row r="189" customFormat="false" ht="15" hidden="false" customHeight="true" outlineLevel="0" collapsed="false">
      <c r="A189" s="17" t="s">
        <v>559</v>
      </c>
      <c r="B189" s="17" t="s">
        <v>560</v>
      </c>
      <c r="C189" s="17" t="s">
        <v>442</v>
      </c>
      <c r="D189" s="17" t="s">
        <v>443</v>
      </c>
      <c r="E189" s="17" t="s">
        <v>439</v>
      </c>
      <c r="F189" s="17" t="s">
        <v>561</v>
      </c>
      <c r="G189" s="17" t="s">
        <v>465</v>
      </c>
      <c r="H189" s="20" t="n">
        <v>46311</v>
      </c>
    </row>
    <row r="190" customFormat="false" ht="15" hidden="false" customHeight="true" outlineLevel="0" collapsed="false">
      <c r="A190" s="17" t="s">
        <v>559</v>
      </c>
      <c r="B190" s="17" t="s">
        <v>560</v>
      </c>
      <c r="C190" s="17" t="s">
        <v>444</v>
      </c>
      <c r="D190" s="17" t="s">
        <v>445</v>
      </c>
      <c r="E190" s="17" t="s">
        <v>439</v>
      </c>
      <c r="F190" s="17" t="s">
        <v>561</v>
      </c>
      <c r="G190" s="17" t="s">
        <v>465</v>
      </c>
      <c r="H190" s="20" t="n">
        <v>46311</v>
      </c>
    </row>
    <row r="191" customFormat="false" ht="15" hidden="false" customHeight="true" outlineLevel="0" collapsed="false">
      <c r="A191" s="17" t="s">
        <v>559</v>
      </c>
      <c r="B191" s="17" t="s">
        <v>560</v>
      </c>
      <c r="C191" s="17" t="s">
        <v>446</v>
      </c>
      <c r="D191" s="17" t="s">
        <v>447</v>
      </c>
      <c r="E191" s="17" t="s">
        <v>439</v>
      </c>
      <c r="F191" s="17" t="s">
        <v>561</v>
      </c>
      <c r="G191" s="17" t="s">
        <v>465</v>
      </c>
      <c r="H191" s="20" t="n">
        <v>46311</v>
      </c>
    </row>
    <row r="192" customFormat="false" ht="15" hidden="false" customHeight="true" outlineLevel="0" collapsed="false">
      <c r="A192" s="17" t="s">
        <v>559</v>
      </c>
      <c r="B192" s="17" t="s">
        <v>560</v>
      </c>
      <c r="C192" s="17" t="s">
        <v>448</v>
      </c>
      <c r="D192" s="17" t="s">
        <v>449</v>
      </c>
      <c r="E192" s="17" t="n">
        <v>30</v>
      </c>
      <c r="F192" s="17" t="s">
        <v>561</v>
      </c>
      <c r="G192" s="17" t="s">
        <v>465</v>
      </c>
      <c r="H192" s="20" t="n">
        <v>46311</v>
      </c>
    </row>
    <row r="193" customFormat="false" ht="15" hidden="false" customHeight="true" outlineLevel="0" collapsed="false">
      <c r="A193" s="17" t="s">
        <v>562</v>
      </c>
      <c r="B193" s="17" t="s">
        <v>563</v>
      </c>
      <c r="C193" s="17" t="s">
        <v>437</v>
      </c>
      <c r="D193" s="17" t="s">
        <v>438</v>
      </c>
      <c r="E193" s="17" t="s">
        <v>439</v>
      </c>
      <c r="F193" s="17" t="s">
        <v>564</v>
      </c>
      <c r="G193" s="17" t="s">
        <v>441</v>
      </c>
      <c r="H193" s="20" t="n">
        <v>46311</v>
      </c>
    </row>
    <row r="194" customFormat="false" ht="15" hidden="false" customHeight="true" outlineLevel="0" collapsed="false">
      <c r="A194" s="17" t="s">
        <v>562</v>
      </c>
      <c r="B194" s="17" t="s">
        <v>563</v>
      </c>
      <c r="C194" s="17" t="s">
        <v>442</v>
      </c>
      <c r="D194" s="17" t="s">
        <v>443</v>
      </c>
      <c r="E194" s="17" t="s">
        <v>439</v>
      </c>
      <c r="F194" s="17" t="s">
        <v>564</v>
      </c>
      <c r="G194" s="17" t="s">
        <v>441</v>
      </c>
      <c r="H194" s="20" t="n">
        <v>46311</v>
      </c>
    </row>
    <row r="195" customFormat="false" ht="15" hidden="false" customHeight="true" outlineLevel="0" collapsed="false">
      <c r="A195" s="17" t="s">
        <v>562</v>
      </c>
      <c r="B195" s="17" t="s">
        <v>563</v>
      </c>
      <c r="C195" s="17" t="s">
        <v>444</v>
      </c>
      <c r="D195" s="17" t="s">
        <v>445</v>
      </c>
      <c r="E195" s="17" t="s">
        <v>439</v>
      </c>
      <c r="F195" s="17" t="s">
        <v>564</v>
      </c>
      <c r="G195" s="17" t="s">
        <v>441</v>
      </c>
      <c r="H195" s="20" t="n">
        <v>46311</v>
      </c>
    </row>
    <row r="196" customFormat="false" ht="15" hidden="false" customHeight="true" outlineLevel="0" collapsed="false">
      <c r="A196" s="17" t="s">
        <v>562</v>
      </c>
      <c r="B196" s="17" t="s">
        <v>563</v>
      </c>
      <c r="C196" s="17" t="s">
        <v>446</v>
      </c>
      <c r="D196" s="17" t="s">
        <v>447</v>
      </c>
      <c r="E196" s="17" t="s">
        <v>439</v>
      </c>
      <c r="F196" s="17" t="s">
        <v>564</v>
      </c>
      <c r="G196" s="17" t="s">
        <v>441</v>
      </c>
      <c r="H196" s="20" t="n">
        <v>46311</v>
      </c>
    </row>
    <row r="197" customFormat="false" ht="15" hidden="false" customHeight="true" outlineLevel="0" collapsed="false">
      <c r="A197" s="17" t="s">
        <v>562</v>
      </c>
      <c r="B197" s="17" t="s">
        <v>563</v>
      </c>
      <c r="C197" s="17" t="s">
        <v>448</v>
      </c>
      <c r="D197" s="17" t="s">
        <v>449</v>
      </c>
      <c r="E197" s="17" t="n">
        <v>24.4</v>
      </c>
      <c r="F197" s="17" t="s">
        <v>564</v>
      </c>
      <c r="G197" s="17" t="s">
        <v>441</v>
      </c>
      <c r="H197" s="20" t="n">
        <v>46311</v>
      </c>
    </row>
    <row r="198" customFormat="false" ht="15" hidden="false" customHeight="true" outlineLevel="0" collapsed="false">
      <c r="A198" s="17" t="s">
        <v>565</v>
      </c>
      <c r="B198" s="17" t="s">
        <v>566</v>
      </c>
      <c r="C198" s="17" t="s">
        <v>437</v>
      </c>
      <c r="D198" s="17" t="s">
        <v>438</v>
      </c>
      <c r="E198" s="17" t="s">
        <v>439</v>
      </c>
      <c r="F198" s="17" t="s">
        <v>567</v>
      </c>
      <c r="G198" s="17" t="s">
        <v>441</v>
      </c>
      <c r="H198" s="20" t="n">
        <v>46314</v>
      </c>
    </row>
    <row r="199" customFormat="false" ht="15" hidden="false" customHeight="true" outlineLevel="0" collapsed="false">
      <c r="A199" s="17" t="s">
        <v>565</v>
      </c>
      <c r="B199" s="17" t="s">
        <v>566</v>
      </c>
      <c r="C199" s="17" t="s">
        <v>442</v>
      </c>
      <c r="D199" s="17" t="s">
        <v>443</v>
      </c>
      <c r="E199" s="17" t="s">
        <v>439</v>
      </c>
      <c r="F199" s="17" t="s">
        <v>567</v>
      </c>
      <c r="G199" s="17" t="s">
        <v>441</v>
      </c>
      <c r="H199" s="20" t="n">
        <v>46314</v>
      </c>
    </row>
    <row r="200" customFormat="false" ht="15" hidden="false" customHeight="true" outlineLevel="0" collapsed="false">
      <c r="A200" s="17" t="s">
        <v>565</v>
      </c>
      <c r="B200" s="17" t="s">
        <v>566</v>
      </c>
      <c r="C200" s="17" t="s">
        <v>444</v>
      </c>
      <c r="D200" s="17" t="s">
        <v>445</v>
      </c>
      <c r="E200" s="17" t="s">
        <v>439</v>
      </c>
      <c r="F200" s="17" t="s">
        <v>567</v>
      </c>
      <c r="G200" s="17" t="s">
        <v>441</v>
      </c>
      <c r="H200" s="20" t="n">
        <v>46314</v>
      </c>
    </row>
    <row r="201" customFormat="false" ht="15" hidden="false" customHeight="true" outlineLevel="0" collapsed="false">
      <c r="A201" s="17" t="s">
        <v>565</v>
      </c>
      <c r="B201" s="17" t="s">
        <v>566</v>
      </c>
      <c r="C201" s="17" t="s">
        <v>446</v>
      </c>
      <c r="D201" s="17" t="s">
        <v>447</v>
      </c>
      <c r="E201" s="17" t="s">
        <v>439</v>
      </c>
      <c r="F201" s="17" t="s">
        <v>567</v>
      </c>
      <c r="G201" s="17" t="s">
        <v>441</v>
      </c>
      <c r="H201" s="20" t="n">
        <v>46314</v>
      </c>
    </row>
    <row r="202" customFormat="false" ht="15" hidden="false" customHeight="true" outlineLevel="0" collapsed="false">
      <c r="A202" s="17" t="s">
        <v>565</v>
      </c>
      <c r="B202" s="17" t="s">
        <v>566</v>
      </c>
      <c r="C202" s="17" t="s">
        <v>448</v>
      </c>
      <c r="D202" s="17" t="s">
        <v>449</v>
      </c>
      <c r="E202" s="17" t="n">
        <v>25.6</v>
      </c>
      <c r="F202" s="17" t="s">
        <v>567</v>
      </c>
      <c r="G202" s="17" t="s">
        <v>441</v>
      </c>
      <c r="H202" s="20" t="n">
        <v>46314</v>
      </c>
    </row>
    <row r="203" customFormat="false" ht="15" hidden="false" customHeight="true" outlineLevel="0" collapsed="false">
      <c r="A203" s="17" t="s">
        <v>568</v>
      </c>
      <c r="B203" s="17" t="s">
        <v>569</v>
      </c>
      <c r="C203" s="17" t="s">
        <v>437</v>
      </c>
      <c r="D203" s="17" t="s">
        <v>438</v>
      </c>
      <c r="E203" s="17" t="s">
        <v>439</v>
      </c>
      <c r="F203" s="17" t="s">
        <v>570</v>
      </c>
      <c r="G203" s="17" t="s">
        <v>465</v>
      </c>
      <c r="H203" s="20" t="n">
        <v>46309</v>
      </c>
    </row>
    <row r="204" customFormat="false" ht="15" hidden="false" customHeight="true" outlineLevel="0" collapsed="false">
      <c r="A204" s="17" t="s">
        <v>568</v>
      </c>
      <c r="B204" s="17" t="s">
        <v>569</v>
      </c>
      <c r="C204" s="17" t="s">
        <v>442</v>
      </c>
      <c r="D204" s="17" t="s">
        <v>443</v>
      </c>
      <c r="E204" s="17" t="s">
        <v>439</v>
      </c>
      <c r="F204" s="17" t="s">
        <v>570</v>
      </c>
      <c r="G204" s="17" t="s">
        <v>465</v>
      </c>
      <c r="H204" s="20" t="n">
        <v>46309</v>
      </c>
    </row>
    <row r="205" customFormat="false" ht="15" hidden="false" customHeight="true" outlineLevel="0" collapsed="false">
      <c r="A205" s="17" t="s">
        <v>568</v>
      </c>
      <c r="B205" s="17" t="s">
        <v>569</v>
      </c>
      <c r="C205" s="17" t="s">
        <v>444</v>
      </c>
      <c r="D205" s="17" t="s">
        <v>445</v>
      </c>
      <c r="E205" s="17" t="s">
        <v>439</v>
      </c>
      <c r="F205" s="17" t="s">
        <v>570</v>
      </c>
      <c r="G205" s="17" t="s">
        <v>465</v>
      </c>
      <c r="H205" s="20" t="n">
        <v>46309</v>
      </c>
    </row>
    <row r="206" customFormat="false" ht="15" hidden="false" customHeight="true" outlineLevel="0" collapsed="false">
      <c r="A206" s="17" t="s">
        <v>568</v>
      </c>
      <c r="B206" s="17" t="s">
        <v>569</v>
      </c>
      <c r="C206" s="17" t="s">
        <v>446</v>
      </c>
      <c r="D206" s="17" t="s">
        <v>447</v>
      </c>
      <c r="E206" s="17" t="s">
        <v>439</v>
      </c>
      <c r="F206" s="17" t="s">
        <v>570</v>
      </c>
      <c r="G206" s="17" t="s">
        <v>465</v>
      </c>
      <c r="H206" s="20" t="n">
        <v>46309</v>
      </c>
    </row>
    <row r="207" customFormat="false" ht="15" hidden="false" customHeight="true" outlineLevel="0" collapsed="false">
      <c r="A207" s="17" t="s">
        <v>568</v>
      </c>
      <c r="B207" s="17" t="s">
        <v>569</v>
      </c>
      <c r="C207" s="17" t="s">
        <v>448</v>
      </c>
      <c r="D207" s="17" t="s">
        <v>449</v>
      </c>
      <c r="E207" s="17" t="n">
        <v>29.5</v>
      </c>
      <c r="F207" s="17" t="s">
        <v>570</v>
      </c>
      <c r="G207" s="17" t="s">
        <v>465</v>
      </c>
      <c r="H207" s="20" t="n">
        <v>46309</v>
      </c>
    </row>
    <row r="208" customFormat="false" ht="15" hidden="false" customHeight="true" outlineLevel="0" collapsed="false">
      <c r="A208" s="17" t="s">
        <v>571</v>
      </c>
      <c r="B208" s="17" t="s">
        <v>572</v>
      </c>
      <c r="C208" s="17" t="s">
        <v>437</v>
      </c>
      <c r="D208" s="17" t="s">
        <v>438</v>
      </c>
      <c r="E208" s="17" t="s">
        <v>439</v>
      </c>
      <c r="F208" s="17" t="s">
        <v>573</v>
      </c>
      <c r="G208" s="17" t="s">
        <v>441</v>
      </c>
      <c r="H208" s="20" t="n">
        <v>46311</v>
      </c>
    </row>
    <row r="209" customFormat="false" ht="15" hidden="false" customHeight="true" outlineLevel="0" collapsed="false">
      <c r="A209" s="17" t="s">
        <v>571</v>
      </c>
      <c r="B209" s="17" t="s">
        <v>572</v>
      </c>
      <c r="C209" s="17" t="s">
        <v>442</v>
      </c>
      <c r="D209" s="17" t="s">
        <v>443</v>
      </c>
      <c r="E209" s="17" t="s">
        <v>439</v>
      </c>
      <c r="F209" s="17" t="s">
        <v>573</v>
      </c>
      <c r="G209" s="17" t="s">
        <v>441</v>
      </c>
      <c r="H209" s="20" t="n">
        <v>46311</v>
      </c>
    </row>
    <row r="210" customFormat="false" ht="15" hidden="false" customHeight="true" outlineLevel="0" collapsed="false">
      <c r="A210" s="17" t="s">
        <v>571</v>
      </c>
      <c r="B210" s="17" t="s">
        <v>572</v>
      </c>
      <c r="C210" s="17" t="s">
        <v>444</v>
      </c>
      <c r="D210" s="17" t="s">
        <v>445</v>
      </c>
      <c r="E210" s="17" t="s">
        <v>439</v>
      </c>
      <c r="F210" s="17" t="s">
        <v>573</v>
      </c>
      <c r="G210" s="17" t="s">
        <v>441</v>
      </c>
      <c r="H210" s="20" t="n">
        <v>46311</v>
      </c>
    </row>
    <row r="211" customFormat="false" ht="15" hidden="false" customHeight="true" outlineLevel="0" collapsed="false">
      <c r="A211" s="17" t="s">
        <v>571</v>
      </c>
      <c r="B211" s="17" t="s">
        <v>572</v>
      </c>
      <c r="C211" s="17" t="s">
        <v>446</v>
      </c>
      <c r="D211" s="17" t="s">
        <v>447</v>
      </c>
      <c r="E211" s="17" t="s">
        <v>439</v>
      </c>
      <c r="F211" s="17" t="s">
        <v>573</v>
      </c>
      <c r="G211" s="17" t="s">
        <v>441</v>
      </c>
      <c r="H211" s="20" t="n">
        <v>46311</v>
      </c>
    </row>
    <row r="212" customFormat="false" ht="15" hidden="false" customHeight="true" outlineLevel="0" collapsed="false">
      <c r="A212" s="17" t="s">
        <v>571</v>
      </c>
      <c r="B212" s="17" t="s">
        <v>572</v>
      </c>
      <c r="C212" s="17" t="s">
        <v>448</v>
      </c>
      <c r="D212" s="17" t="s">
        <v>449</v>
      </c>
      <c r="E212" s="17" t="n">
        <v>28.5</v>
      </c>
      <c r="F212" s="17" t="s">
        <v>573</v>
      </c>
      <c r="G212" s="17" t="s">
        <v>441</v>
      </c>
      <c r="H212" s="20" t="n">
        <v>46311</v>
      </c>
    </row>
    <row r="213" customFormat="false" ht="15" hidden="false" customHeight="true" outlineLevel="0" collapsed="false">
      <c r="A213" s="17" t="s">
        <v>574</v>
      </c>
      <c r="B213" s="17" t="s">
        <v>575</v>
      </c>
      <c r="C213" s="17" t="s">
        <v>437</v>
      </c>
      <c r="D213" s="17" t="s">
        <v>438</v>
      </c>
      <c r="E213" s="17" t="s">
        <v>439</v>
      </c>
      <c r="F213" s="17" t="s">
        <v>576</v>
      </c>
      <c r="G213" s="17" t="s">
        <v>441</v>
      </c>
      <c r="H213" s="20" t="n">
        <v>46310</v>
      </c>
    </row>
    <row r="214" customFormat="false" ht="15" hidden="false" customHeight="true" outlineLevel="0" collapsed="false">
      <c r="A214" s="17" t="s">
        <v>574</v>
      </c>
      <c r="B214" s="17" t="s">
        <v>575</v>
      </c>
      <c r="C214" s="17" t="s">
        <v>442</v>
      </c>
      <c r="D214" s="17" t="s">
        <v>443</v>
      </c>
      <c r="E214" s="17" t="s">
        <v>439</v>
      </c>
      <c r="F214" s="17" t="s">
        <v>576</v>
      </c>
      <c r="G214" s="17" t="s">
        <v>441</v>
      </c>
      <c r="H214" s="20" t="n">
        <v>46310</v>
      </c>
    </row>
    <row r="215" customFormat="false" ht="15" hidden="false" customHeight="true" outlineLevel="0" collapsed="false">
      <c r="A215" s="17" t="s">
        <v>574</v>
      </c>
      <c r="B215" s="17" t="s">
        <v>575</v>
      </c>
      <c r="C215" s="17" t="s">
        <v>444</v>
      </c>
      <c r="D215" s="17" t="s">
        <v>445</v>
      </c>
      <c r="E215" s="17" t="s">
        <v>439</v>
      </c>
      <c r="F215" s="17" t="s">
        <v>576</v>
      </c>
      <c r="G215" s="17" t="s">
        <v>441</v>
      </c>
      <c r="H215" s="20" t="n">
        <v>46310</v>
      </c>
    </row>
    <row r="216" customFormat="false" ht="15" hidden="false" customHeight="true" outlineLevel="0" collapsed="false">
      <c r="A216" s="17" t="s">
        <v>574</v>
      </c>
      <c r="B216" s="17" t="s">
        <v>575</v>
      </c>
      <c r="C216" s="17" t="s">
        <v>446</v>
      </c>
      <c r="D216" s="17" t="s">
        <v>447</v>
      </c>
      <c r="E216" s="17" t="s">
        <v>439</v>
      </c>
      <c r="F216" s="17" t="s">
        <v>576</v>
      </c>
      <c r="G216" s="17" t="s">
        <v>441</v>
      </c>
      <c r="H216" s="20" t="n">
        <v>46310</v>
      </c>
    </row>
    <row r="217" customFormat="false" ht="15" hidden="false" customHeight="true" outlineLevel="0" collapsed="false">
      <c r="A217" s="17" t="s">
        <v>574</v>
      </c>
      <c r="B217" s="17" t="s">
        <v>575</v>
      </c>
      <c r="C217" s="17" t="s">
        <v>448</v>
      </c>
      <c r="D217" s="17" t="s">
        <v>449</v>
      </c>
      <c r="E217" s="17" t="n">
        <v>23.4</v>
      </c>
      <c r="F217" s="17" t="s">
        <v>576</v>
      </c>
      <c r="G217" s="17" t="s">
        <v>441</v>
      </c>
      <c r="H217" s="20" t="n">
        <v>46310</v>
      </c>
    </row>
    <row r="218" customFormat="false" ht="15" hidden="false" customHeight="true" outlineLevel="0" collapsed="false">
      <c r="A218" s="17" t="s">
        <v>577</v>
      </c>
      <c r="B218" s="17" t="s">
        <v>578</v>
      </c>
      <c r="C218" s="17" t="s">
        <v>437</v>
      </c>
      <c r="D218" s="17" t="s">
        <v>438</v>
      </c>
      <c r="E218" s="17" t="s">
        <v>439</v>
      </c>
      <c r="F218" s="17" t="s">
        <v>579</v>
      </c>
      <c r="G218" s="17" t="s">
        <v>441</v>
      </c>
      <c r="H218" s="20" t="n">
        <v>46314</v>
      </c>
    </row>
    <row r="219" customFormat="false" ht="15" hidden="false" customHeight="true" outlineLevel="0" collapsed="false">
      <c r="A219" s="17" t="s">
        <v>577</v>
      </c>
      <c r="B219" s="17" t="s">
        <v>578</v>
      </c>
      <c r="C219" s="17" t="s">
        <v>442</v>
      </c>
      <c r="D219" s="17" t="s">
        <v>443</v>
      </c>
      <c r="E219" s="17" t="s">
        <v>439</v>
      </c>
      <c r="F219" s="17" t="s">
        <v>579</v>
      </c>
      <c r="G219" s="17" t="s">
        <v>441</v>
      </c>
      <c r="H219" s="20" t="n">
        <v>46314</v>
      </c>
    </row>
    <row r="220" customFormat="false" ht="15" hidden="false" customHeight="true" outlineLevel="0" collapsed="false">
      <c r="A220" s="17" t="s">
        <v>577</v>
      </c>
      <c r="B220" s="17" t="s">
        <v>578</v>
      </c>
      <c r="C220" s="17" t="s">
        <v>444</v>
      </c>
      <c r="D220" s="17" t="s">
        <v>445</v>
      </c>
      <c r="E220" s="17" t="s">
        <v>439</v>
      </c>
      <c r="F220" s="17" t="s">
        <v>579</v>
      </c>
      <c r="G220" s="17" t="s">
        <v>441</v>
      </c>
      <c r="H220" s="20" t="n">
        <v>46314</v>
      </c>
    </row>
    <row r="221" customFormat="false" ht="15" hidden="false" customHeight="true" outlineLevel="0" collapsed="false">
      <c r="A221" s="17" t="s">
        <v>577</v>
      </c>
      <c r="B221" s="17" t="s">
        <v>578</v>
      </c>
      <c r="C221" s="17" t="s">
        <v>446</v>
      </c>
      <c r="D221" s="17" t="s">
        <v>447</v>
      </c>
      <c r="E221" s="17" t="s">
        <v>439</v>
      </c>
      <c r="F221" s="17" t="s">
        <v>579</v>
      </c>
      <c r="G221" s="17" t="s">
        <v>441</v>
      </c>
      <c r="H221" s="20" t="n">
        <v>46314</v>
      </c>
    </row>
    <row r="222" customFormat="false" ht="15" hidden="false" customHeight="true" outlineLevel="0" collapsed="false">
      <c r="A222" s="17" t="s">
        <v>577</v>
      </c>
      <c r="B222" s="17" t="s">
        <v>578</v>
      </c>
      <c r="C222" s="17" t="s">
        <v>448</v>
      </c>
      <c r="D222" s="17" t="s">
        <v>449</v>
      </c>
      <c r="E222" s="17" t="n">
        <v>25.4</v>
      </c>
      <c r="F222" s="17" t="s">
        <v>579</v>
      </c>
      <c r="G222" s="17" t="s">
        <v>441</v>
      </c>
      <c r="H222" s="20" t="n">
        <v>46314</v>
      </c>
    </row>
    <row r="223" customFormat="false" ht="15" hidden="false" customHeight="true" outlineLevel="0" collapsed="false">
      <c r="A223" s="17" t="s">
        <v>580</v>
      </c>
      <c r="B223" s="17" t="s">
        <v>581</v>
      </c>
      <c r="C223" s="17" t="s">
        <v>437</v>
      </c>
      <c r="D223" s="17" t="s">
        <v>438</v>
      </c>
      <c r="E223" s="17" t="s">
        <v>439</v>
      </c>
      <c r="F223" s="17" t="s">
        <v>582</v>
      </c>
      <c r="G223" s="17" t="s">
        <v>465</v>
      </c>
      <c r="H223" s="20" t="n">
        <v>46308</v>
      </c>
    </row>
    <row r="224" customFormat="false" ht="15" hidden="false" customHeight="true" outlineLevel="0" collapsed="false">
      <c r="A224" s="17" t="s">
        <v>580</v>
      </c>
      <c r="B224" s="17" t="s">
        <v>581</v>
      </c>
      <c r="C224" s="17" t="s">
        <v>442</v>
      </c>
      <c r="D224" s="17" t="s">
        <v>443</v>
      </c>
      <c r="E224" s="17" t="s">
        <v>439</v>
      </c>
      <c r="F224" s="17" t="s">
        <v>582</v>
      </c>
      <c r="G224" s="17" t="s">
        <v>465</v>
      </c>
      <c r="H224" s="20" t="n">
        <v>46308</v>
      </c>
    </row>
    <row r="225" customFormat="false" ht="15" hidden="false" customHeight="true" outlineLevel="0" collapsed="false">
      <c r="A225" s="17" t="s">
        <v>580</v>
      </c>
      <c r="B225" s="17" t="s">
        <v>581</v>
      </c>
      <c r="C225" s="17" t="s">
        <v>444</v>
      </c>
      <c r="D225" s="17" t="s">
        <v>445</v>
      </c>
      <c r="E225" s="17" t="s">
        <v>439</v>
      </c>
      <c r="F225" s="17" t="s">
        <v>582</v>
      </c>
      <c r="G225" s="17" t="s">
        <v>465</v>
      </c>
      <c r="H225" s="20" t="n">
        <v>46308</v>
      </c>
    </row>
    <row r="226" customFormat="false" ht="15" hidden="false" customHeight="true" outlineLevel="0" collapsed="false">
      <c r="A226" s="17" t="s">
        <v>580</v>
      </c>
      <c r="B226" s="17" t="s">
        <v>581</v>
      </c>
      <c r="C226" s="17" t="s">
        <v>446</v>
      </c>
      <c r="D226" s="17" t="s">
        <v>447</v>
      </c>
      <c r="E226" s="17" t="s">
        <v>439</v>
      </c>
      <c r="F226" s="17" t="s">
        <v>582</v>
      </c>
      <c r="G226" s="17" t="s">
        <v>465</v>
      </c>
      <c r="H226" s="20" t="n">
        <v>46308</v>
      </c>
    </row>
    <row r="227" customFormat="false" ht="15" hidden="false" customHeight="true" outlineLevel="0" collapsed="false">
      <c r="A227" s="17" t="s">
        <v>580</v>
      </c>
      <c r="B227" s="17" t="s">
        <v>581</v>
      </c>
      <c r="C227" s="17" t="s">
        <v>448</v>
      </c>
      <c r="D227" s="17" t="s">
        <v>449</v>
      </c>
      <c r="E227" s="17" t="s">
        <v>439</v>
      </c>
      <c r="F227" s="17" t="s">
        <v>582</v>
      </c>
      <c r="G227" s="17" t="s">
        <v>465</v>
      </c>
      <c r="H227" s="20" t="n">
        <v>46308</v>
      </c>
    </row>
    <row r="228" customFormat="false" ht="15" hidden="false" customHeight="true" outlineLevel="0" collapsed="false">
      <c r="A228" s="17" t="s">
        <v>583</v>
      </c>
      <c r="B228" s="17" t="s">
        <v>584</v>
      </c>
      <c r="C228" s="17" t="s">
        <v>437</v>
      </c>
      <c r="D228" s="17" t="s">
        <v>438</v>
      </c>
      <c r="E228" s="17" t="s">
        <v>439</v>
      </c>
      <c r="F228" s="17" t="s">
        <v>585</v>
      </c>
      <c r="G228" s="17" t="s">
        <v>465</v>
      </c>
      <c r="H228" s="20" t="n">
        <v>46308</v>
      </c>
    </row>
    <row r="229" customFormat="false" ht="15" hidden="false" customHeight="true" outlineLevel="0" collapsed="false">
      <c r="A229" s="17" t="s">
        <v>583</v>
      </c>
      <c r="B229" s="17" t="s">
        <v>584</v>
      </c>
      <c r="C229" s="17" t="s">
        <v>442</v>
      </c>
      <c r="D229" s="17" t="s">
        <v>443</v>
      </c>
      <c r="E229" s="17" t="s">
        <v>439</v>
      </c>
      <c r="F229" s="17" t="s">
        <v>585</v>
      </c>
      <c r="G229" s="17" t="s">
        <v>465</v>
      </c>
      <c r="H229" s="20" t="n">
        <v>46308</v>
      </c>
    </row>
    <row r="230" customFormat="false" ht="15" hidden="false" customHeight="true" outlineLevel="0" collapsed="false">
      <c r="A230" s="17" t="s">
        <v>583</v>
      </c>
      <c r="B230" s="17" t="s">
        <v>584</v>
      </c>
      <c r="C230" s="17" t="s">
        <v>444</v>
      </c>
      <c r="D230" s="17" t="s">
        <v>445</v>
      </c>
      <c r="E230" s="17" t="s">
        <v>439</v>
      </c>
      <c r="F230" s="17" t="s">
        <v>585</v>
      </c>
      <c r="G230" s="17" t="s">
        <v>465</v>
      </c>
      <c r="H230" s="20" t="n">
        <v>46308</v>
      </c>
    </row>
    <row r="231" customFormat="false" ht="15" hidden="false" customHeight="true" outlineLevel="0" collapsed="false">
      <c r="A231" s="17" t="s">
        <v>583</v>
      </c>
      <c r="B231" s="17" t="s">
        <v>584</v>
      </c>
      <c r="C231" s="17" t="s">
        <v>446</v>
      </c>
      <c r="D231" s="17" t="s">
        <v>447</v>
      </c>
      <c r="E231" s="17" t="n">
        <v>21</v>
      </c>
      <c r="F231" s="17" t="s">
        <v>585</v>
      </c>
      <c r="G231" s="17" t="s">
        <v>465</v>
      </c>
      <c r="H231" s="20" t="n">
        <v>46308</v>
      </c>
    </row>
    <row r="232" customFormat="false" ht="15" hidden="false" customHeight="true" outlineLevel="0" collapsed="false">
      <c r="A232" s="17" t="s">
        <v>583</v>
      </c>
      <c r="B232" s="17" t="s">
        <v>584</v>
      </c>
      <c r="C232" s="17" t="s">
        <v>448</v>
      </c>
      <c r="D232" s="17" t="s">
        <v>449</v>
      </c>
      <c r="E232" s="17" t="n">
        <v>22.3</v>
      </c>
      <c r="F232" s="17" t="s">
        <v>585</v>
      </c>
      <c r="G232" s="17" t="s">
        <v>465</v>
      </c>
      <c r="H232" s="20" t="n">
        <v>46308</v>
      </c>
    </row>
    <row r="233" customFormat="false" ht="15" hidden="false" customHeight="true" outlineLevel="0" collapsed="false">
      <c r="A233" s="17" t="s">
        <v>586</v>
      </c>
      <c r="B233" s="17" t="s">
        <v>587</v>
      </c>
      <c r="C233" s="17" t="s">
        <v>437</v>
      </c>
      <c r="D233" s="17" t="s">
        <v>438</v>
      </c>
      <c r="E233" s="17" t="s">
        <v>439</v>
      </c>
      <c r="F233" s="17" t="s">
        <v>588</v>
      </c>
      <c r="G233" s="17" t="s">
        <v>465</v>
      </c>
      <c r="H233" s="20" t="n">
        <v>46307</v>
      </c>
    </row>
    <row r="234" customFormat="false" ht="15" hidden="false" customHeight="true" outlineLevel="0" collapsed="false">
      <c r="A234" s="17" t="s">
        <v>586</v>
      </c>
      <c r="B234" s="17" t="s">
        <v>587</v>
      </c>
      <c r="C234" s="17" t="s">
        <v>442</v>
      </c>
      <c r="D234" s="17" t="s">
        <v>443</v>
      </c>
      <c r="E234" s="17" t="s">
        <v>439</v>
      </c>
      <c r="F234" s="17" t="s">
        <v>588</v>
      </c>
      <c r="G234" s="17" t="s">
        <v>465</v>
      </c>
      <c r="H234" s="20" t="n">
        <v>46307</v>
      </c>
    </row>
    <row r="235" customFormat="false" ht="15" hidden="false" customHeight="true" outlineLevel="0" collapsed="false">
      <c r="A235" s="17" t="s">
        <v>586</v>
      </c>
      <c r="B235" s="17" t="s">
        <v>587</v>
      </c>
      <c r="C235" s="17" t="s">
        <v>444</v>
      </c>
      <c r="D235" s="17" t="s">
        <v>445</v>
      </c>
      <c r="E235" s="17" t="s">
        <v>439</v>
      </c>
      <c r="F235" s="17" t="s">
        <v>588</v>
      </c>
      <c r="G235" s="17" t="s">
        <v>465</v>
      </c>
      <c r="H235" s="20" t="n">
        <v>46307</v>
      </c>
    </row>
    <row r="236" customFormat="false" ht="15" hidden="false" customHeight="true" outlineLevel="0" collapsed="false">
      <c r="A236" s="17" t="s">
        <v>586</v>
      </c>
      <c r="B236" s="17" t="s">
        <v>587</v>
      </c>
      <c r="C236" s="17" t="s">
        <v>446</v>
      </c>
      <c r="D236" s="17" t="s">
        <v>447</v>
      </c>
      <c r="E236" s="17" t="s">
        <v>439</v>
      </c>
      <c r="F236" s="17" t="s">
        <v>588</v>
      </c>
      <c r="G236" s="17" t="s">
        <v>465</v>
      </c>
      <c r="H236" s="20" t="n">
        <v>46307</v>
      </c>
    </row>
    <row r="237" customFormat="false" ht="15" hidden="false" customHeight="true" outlineLevel="0" collapsed="false">
      <c r="A237" s="17" t="s">
        <v>586</v>
      </c>
      <c r="B237" s="17" t="s">
        <v>587</v>
      </c>
      <c r="C237" s="17" t="s">
        <v>448</v>
      </c>
      <c r="D237" s="17" t="s">
        <v>449</v>
      </c>
      <c r="E237" s="17" t="n">
        <v>26.2</v>
      </c>
      <c r="F237" s="17" t="s">
        <v>588</v>
      </c>
      <c r="G237" s="17" t="s">
        <v>465</v>
      </c>
      <c r="H237" s="20" t="n">
        <v>46307</v>
      </c>
    </row>
    <row r="238" customFormat="false" ht="15" hidden="false" customHeight="true" outlineLevel="0" collapsed="false">
      <c r="A238" s="17" t="s">
        <v>589</v>
      </c>
      <c r="B238" s="17" t="s">
        <v>590</v>
      </c>
      <c r="C238" s="17" t="s">
        <v>437</v>
      </c>
      <c r="D238" s="17" t="s">
        <v>438</v>
      </c>
      <c r="E238" s="17" t="s">
        <v>439</v>
      </c>
      <c r="F238" s="17" t="s">
        <v>591</v>
      </c>
      <c r="G238" s="17" t="s">
        <v>441</v>
      </c>
      <c r="H238" s="20" t="n">
        <v>46312</v>
      </c>
    </row>
    <row r="239" customFormat="false" ht="15" hidden="false" customHeight="true" outlineLevel="0" collapsed="false">
      <c r="A239" s="17" t="s">
        <v>589</v>
      </c>
      <c r="B239" s="17" t="s">
        <v>590</v>
      </c>
      <c r="C239" s="17" t="s">
        <v>442</v>
      </c>
      <c r="D239" s="17" t="s">
        <v>443</v>
      </c>
      <c r="E239" s="17" t="s">
        <v>439</v>
      </c>
      <c r="F239" s="17" t="s">
        <v>591</v>
      </c>
      <c r="G239" s="17" t="s">
        <v>441</v>
      </c>
      <c r="H239" s="20" t="n">
        <v>46312</v>
      </c>
    </row>
    <row r="240" customFormat="false" ht="15" hidden="false" customHeight="true" outlineLevel="0" collapsed="false">
      <c r="A240" s="17" t="s">
        <v>589</v>
      </c>
      <c r="B240" s="17" t="s">
        <v>590</v>
      </c>
      <c r="C240" s="17" t="s">
        <v>444</v>
      </c>
      <c r="D240" s="17" t="s">
        <v>445</v>
      </c>
      <c r="E240" s="17" t="s">
        <v>439</v>
      </c>
      <c r="F240" s="17" t="s">
        <v>591</v>
      </c>
      <c r="G240" s="17" t="s">
        <v>441</v>
      </c>
      <c r="H240" s="20" t="n">
        <v>46312</v>
      </c>
    </row>
    <row r="241" customFormat="false" ht="15" hidden="false" customHeight="true" outlineLevel="0" collapsed="false">
      <c r="A241" s="17" t="s">
        <v>589</v>
      </c>
      <c r="B241" s="17" t="s">
        <v>590</v>
      </c>
      <c r="C241" s="17" t="s">
        <v>446</v>
      </c>
      <c r="D241" s="17" t="s">
        <v>447</v>
      </c>
      <c r="E241" s="17" t="s">
        <v>439</v>
      </c>
      <c r="F241" s="17" t="s">
        <v>591</v>
      </c>
      <c r="G241" s="17" t="s">
        <v>441</v>
      </c>
      <c r="H241" s="20" t="n">
        <v>46312</v>
      </c>
    </row>
    <row r="242" customFormat="false" ht="15" hidden="false" customHeight="true" outlineLevel="0" collapsed="false">
      <c r="A242" s="17" t="s">
        <v>589</v>
      </c>
      <c r="B242" s="17" t="s">
        <v>590</v>
      </c>
      <c r="C242" s="17" t="s">
        <v>448</v>
      </c>
      <c r="D242" s="17" t="s">
        <v>449</v>
      </c>
      <c r="E242" s="17" t="n">
        <v>22.1</v>
      </c>
      <c r="F242" s="17" t="s">
        <v>591</v>
      </c>
      <c r="G242" s="17" t="s">
        <v>441</v>
      </c>
      <c r="H242" s="20" t="n">
        <v>46312</v>
      </c>
    </row>
    <row r="243" customFormat="false" ht="15" hidden="false" customHeight="true" outlineLevel="0" collapsed="false">
      <c r="A243" s="17" t="s">
        <v>592</v>
      </c>
      <c r="B243" s="17" t="s">
        <v>593</v>
      </c>
      <c r="C243" s="17" t="s">
        <v>437</v>
      </c>
      <c r="D243" s="17" t="s">
        <v>438</v>
      </c>
      <c r="E243" s="17" t="s">
        <v>439</v>
      </c>
      <c r="F243" s="17" t="s">
        <v>594</v>
      </c>
      <c r="G243" s="17" t="s">
        <v>441</v>
      </c>
      <c r="H243" s="20" t="n">
        <v>46303</v>
      </c>
    </row>
    <row r="244" customFormat="false" ht="15" hidden="false" customHeight="true" outlineLevel="0" collapsed="false">
      <c r="A244" s="17" t="s">
        <v>592</v>
      </c>
      <c r="B244" s="17" t="s">
        <v>593</v>
      </c>
      <c r="C244" s="17" t="s">
        <v>442</v>
      </c>
      <c r="D244" s="17" t="s">
        <v>443</v>
      </c>
      <c r="E244" s="17" t="s">
        <v>439</v>
      </c>
      <c r="F244" s="17" t="s">
        <v>594</v>
      </c>
      <c r="G244" s="17" t="s">
        <v>441</v>
      </c>
      <c r="H244" s="20" t="n">
        <v>46303</v>
      </c>
    </row>
    <row r="245" customFormat="false" ht="15" hidden="false" customHeight="true" outlineLevel="0" collapsed="false">
      <c r="A245" s="17" t="s">
        <v>592</v>
      </c>
      <c r="B245" s="17" t="s">
        <v>593</v>
      </c>
      <c r="C245" s="17" t="s">
        <v>444</v>
      </c>
      <c r="D245" s="17" t="s">
        <v>445</v>
      </c>
      <c r="E245" s="17" t="s">
        <v>439</v>
      </c>
      <c r="F245" s="17" t="s">
        <v>594</v>
      </c>
      <c r="G245" s="17" t="s">
        <v>441</v>
      </c>
      <c r="H245" s="20" t="n">
        <v>46303</v>
      </c>
    </row>
    <row r="246" customFormat="false" ht="15" hidden="false" customHeight="true" outlineLevel="0" collapsed="false">
      <c r="A246" s="17" t="s">
        <v>592</v>
      </c>
      <c r="B246" s="17" t="s">
        <v>593</v>
      </c>
      <c r="C246" s="17" t="s">
        <v>446</v>
      </c>
      <c r="D246" s="17" t="s">
        <v>447</v>
      </c>
      <c r="E246" s="17" t="s">
        <v>439</v>
      </c>
      <c r="F246" s="17" t="s">
        <v>594</v>
      </c>
      <c r="G246" s="17" t="s">
        <v>441</v>
      </c>
      <c r="H246" s="20" t="n">
        <v>46303</v>
      </c>
    </row>
    <row r="247" customFormat="false" ht="15" hidden="false" customHeight="true" outlineLevel="0" collapsed="false">
      <c r="A247" s="17" t="s">
        <v>592</v>
      </c>
      <c r="B247" s="17" t="s">
        <v>593</v>
      </c>
      <c r="C247" s="17" t="s">
        <v>448</v>
      </c>
      <c r="D247" s="17" t="s">
        <v>449</v>
      </c>
      <c r="E247" s="17" t="n">
        <v>27.4</v>
      </c>
      <c r="F247" s="17" t="s">
        <v>594</v>
      </c>
      <c r="G247" s="17" t="s">
        <v>441</v>
      </c>
      <c r="H247" s="20" t="n">
        <v>46303</v>
      </c>
    </row>
    <row r="248" customFormat="false" ht="15" hidden="false" customHeight="true" outlineLevel="0" collapsed="false">
      <c r="A248" s="17" t="s">
        <v>595</v>
      </c>
      <c r="B248" s="17" t="s">
        <v>596</v>
      </c>
      <c r="C248" s="17" t="s">
        <v>437</v>
      </c>
      <c r="D248" s="17" t="s">
        <v>438</v>
      </c>
      <c r="E248" s="17" t="s">
        <v>439</v>
      </c>
      <c r="F248" s="17" t="s">
        <v>597</v>
      </c>
      <c r="G248" s="17" t="s">
        <v>465</v>
      </c>
      <c r="H248" s="20" t="n">
        <v>46313</v>
      </c>
    </row>
    <row r="249" customFormat="false" ht="15" hidden="false" customHeight="true" outlineLevel="0" collapsed="false">
      <c r="A249" s="17" t="s">
        <v>595</v>
      </c>
      <c r="B249" s="17" t="s">
        <v>596</v>
      </c>
      <c r="C249" s="17" t="s">
        <v>442</v>
      </c>
      <c r="D249" s="17" t="s">
        <v>443</v>
      </c>
      <c r="E249" s="17" t="s">
        <v>439</v>
      </c>
      <c r="F249" s="17" t="s">
        <v>597</v>
      </c>
      <c r="G249" s="17" t="s">
        <v>465</v>
      </c>
      <c r="H249" s="20" t="n">
        <v>46313</v>
      </c>
    </row>
    <row r="250" customFormat="false" ht="15" hidden="false" customHeight="true" outlineLevel="0" collapsed="false">
      <c r="A250" s="17" t="s">
        <v>595</v>
      </c>
      <c r="B250" s="17" t="s">
        <v>596</v>
      </c>
      <c r="C250" s="17" t="s">
        <v>444</v>
      </c>
      <c r="D250" s="17" t="s">
        <v>445</v>
      </c>
      <c r="E250" s="17" t="s">
        <v>439</v>
      </c>
      <c r="F250" s="17" t="s">
        <v>597</v>
      </c>
      <c r="G250" s="17" t="s">
        <v>465</v>
      </c>
      <c r="H250" s="20" t="n">
        <v>46313</v>
      </c>
    </row>
    <row r="251" customFormat="false" ht="15" hidden="false" customHeight="true" outlineLevel="0" collapsed="false">
      <c r="A251" s="17" t="s">
        <v>595</v>
      </c>
      <c r="B251" s="17" t="s">
        <v>596</v>
      </c>
      <c r="C251" s="17" t="s">
        <v>446</v>
      </c>
      <c r="D251" s="17" t="s">
        <v>447</v>
      </c>
      <c r="E251" s="17" t="s">
        <v>439</v>
      </c>
      <c r="F251" s="17" t="s">
        <v>597</v>
      </c>
      <c r="G251" s="17" t="s">
        <v>465</v>
      </c>
      <c r="H251" s="20" t="n">
        <v>46313</v>
      </c>
    </row>
    <row r="252" customFormat="false" ht="15" hidden="false" customHeight="true" outlineLevel="0" collapsed="false">
      <c r="A252" s="17" t="s">
        <v>595</v>
      </c>
      <c r="B252" s="17" t="s">
        <v>596</v>
      </c>
      <c r="C252" s="17" t="s">
        <v>448</v>
      </c>
      <c r="D252" s="17" t="s">
        <v>449</v>
      </c>
      <c r="E252" s="17" t="n">
        <v>22.8</v>
      </c>
      <c r="F252" s="17" t="s">
        <v>597</v>
      </c>
      <c r="G252" s="17" t="s">
        <v>465</v>
      </c>
      <c r="H252" s="20" t="n">
        <v>46313</v>
      </c>
    </row>
    <row r="253" customFormat="false" ht="15" hidden="false" customHeight="true" outlineLevel="0" collapsed="false">
      <c r="A253" s="17" t="s">
        <v>598</v>
      </c>
      <c r="B253" s="17" t="s">
        <v>599</v>
      </c>
      <c r="C253" s="17" t="s">
        <v>437</v>
      </c>
      <c r="D253" s="17" t="s">
        <v>438</v>
      </c>
      <c r="E253" s="17" t="s">
        <v>439</v>
      </c>
      <c r="F253" s="17" t="s">
        <v>600</v>
      </c>
      <c r="G253" s="17" t="s">
        <v>441</v>
      </c>
      <c r="H253" s="20" t="n">
        <v>46306</v>
      </c>
    </row>
    <row r="254" customFormat="false" ht="15" hidden="false" customHeight="true" outlineLevel="0" collapsed="false">
      <c r="A254" s="17" t="s">
        <v>598</v>
      </c>
      <c r="B254" s="17" t="s">
        <v>599</v>
      </c>
      <c r="C254" s="17" t="s">
        <v>442</v>
      </c>
      <c r="D254" s="17" t="s">
        <v>443</v>
      </c>
      <c r="E254" s="17" t="s">
        <v>439</v>
      </c>
      <c r="F254" s="17" t="s">
        <v>600</v>
      </c>
      <c r="G254" s="17" t="s">
        <v>441</v>
      </c>
      <c r="H254" s="20" t="n">
        <v>46306</v>
      </c>
    </row>
    <row r="255" customFormat="false" ht="15" hidden="false" customHeight="true" outlineLevel="0" collapsed="false">
      <c r="A255" s="17" t="s">
        <v>598</v>
      </c>
      <c r="B255" s="17" t="s">
        <v>599</v>
      </c>
      <c r="C255" s="17" t="s">
        <v>444</v>
      </c>
      <c r="D255" s="17" t="s">
        <v>445</v>
      </c>
      <c r="E255" s="17" t="s">
        <v>439</v>
      </c>
      <c r="F255" s="17" t="s">
        <v>600</v>
      </c>
      <c r="G255" s="17" t="s">
        <v>441</v>
      </c>
      <c r="H255" s="20" t="n">
        <v>46306</v>
      </c>
    </row>
    <row r="256" customFormat="false" ht="15" hidden="false" customHeight="true" outlineLevel="0" collapsed="false">
      <c r="A256" s="17" t="s">
        <v>598</v>
      </c>
      <c r="B256" s="17" t="s">
        <v>599</v>
      </c>
      <c r="C256" s="17" t="s">
        <v>446</v>
      </c>
      <c r="D256" s="17" t="s">
        <v>447</v>
      </c>
      <c r="E256" s="17" t="s">
        <v>439</v>
      </c>
      <c r="F256" s="17" t="s">
        <v>600</v>
      </c>
      <c r="G256" s="17" t="s">
        <v>441</v>
      </c>
      <c r="H256" s="20" t="n">
        <v>46306</v>
      </c>
    </row>
    <row r="257" customFormat="false" ht="15" hidden="false" customHeight="true" outlineLevel="0" collapsed="false">
      <c r="A257" s="17" t="s">
        <v>598</v>
      </c>
      <c r="B257" s="17" t="s">
        <v>599</v>
      </c>
      <c r="C257" s="17" t="s">
        <v>448</v>
      </c>
      <c r="D257" s="17" t="s">
        <v>449</v>
      </c>
      <c r="E257" s="17" t="n">
        <v>22.4</v>
      </c>
      <c r="F257" s="17" t="s">
        <v>600</v>
      </c>
      <c r="G257" s="17" t="s">
        <v>441</v>
      </c>
      <c r="H257" s="20" t="n">
        <v>46306</v>
      </c>
    </row>
    <row r="258" customFormat="false" ht="15" hidden="false" customHeight="true" outlineLevel="0" collapsed="false">
      <c r="A258" s="17" t="s">
        <v>601</v>
      </c>
      <c r="B258" s="17" t="s">
        <v>602</v>
      </c>
      <c r="C258" s="17" t="s">
        <v>437</v>
      </c>
      <c r="D258" s="17" t="s">
        <v>438</v>
      </c>
      <c r="E258" s="17" t="s">
        <v>439</v>
      </c>
      <c r="F258" s="17" t="s">
        <v>603</v>
      </c>
      <c r="G258" s="17" t="s">
        <v>465</v>
      </c>
      <c r="H258" s="20" t="n">
        <v>46304</v>
      </c>
    </row>
    <row r="259" customFormat="false" ht="15" hidden="false" customHeight="true" outlineLevel="0" collapsed="false">
      <c r="A259" s="17" t="s">
        <v>601</v>
      </c>
      <c r="B259" s="17" t="s">
        <v>602</v>
      </c>
      <c r="C259" s="17" t="s">
        <v>442</v>
      </c>
      <c r="D259" s="17" t="s">
        <v>443</v>
      </c>
      <c r="E259" s="17" t="s">
        <v>439</v>
      </c>
      <c r="F259" s="17" t="s">
        <v>603</v>
      </c>
      <c r="G259" s="17" t="s">
        <v>465</v>
      </c>
      <c r="H259" s="20" t="n">
        <v>46304</v>
      </c>
    </row>
    <row r="260" customFormat="false" ht="15" hidden="false" customHeight="true" outlineLevel="0" collapsed="false">
      <c r="A260" s="17" t="s">
        <v>601</v>
      </c>
      <c r="B260" s="17" t="s">
        <v>602</v>
      </c>
      <c r="C260" s="17" t="s">
        <v>444</v>
      </c>
      <c r="D260" s="17" t="s">
        <v>445</v>
      </c>
      <c r="E260" s="17" t="s">
        <v>439</v>
      </c>
      <c r="F260" s="17" t="s">
        <v>603</v>
      </c>
      <c r="G260" s="17" t="s">
        <v>465</v>
      </c>
      <c r="H260" s="20" t="n">
        <v>46304</v>
      </c>
    </row>
    <row r="261" customFormat="false" ht="15" hidden="false" customHeight="true" outlineLevel="0" collapsed="false">
      <c r="A261" s="17" t="s">
        <v>601</v>
      </c>
      <c r="B261" s="17" t="s">
        <v>602</v>
      </c>
      <c r="C261" s="17" t="s">
        <v>446</v>
      </c>
      <c r="D261" s="17" t="s">
        <v>447</v>
      </c>
      <c r="E261" s="17" t="s">
        <v>439</v>
      </c>
      <c r="F261" s="17" t="s">
        <v>603</v>
      </c>
      <c r="G261" s="17" t="s">
        <v>465</v>
      </c>
      <c r="H261" s="20" t="n">
        <v>46304</v>
      </c>
    </row>
    <row r="262" customFormat="false" ht="15" hidden="false" customHeight="true" outlineLevel="0" collapsed="false">
      <c r="A262" s="17" t="s">
        <v>601</v>
      </c>
      <c r="B262" s="17" t="s">
        <v>602</v>
      </c>
      <c r="C262" s="17" t="s">
        <v>448</v>
      </c>
      <c r="D262" s="17" t="s">
        <v>449</v>
      </c>
      <c r="E262" s="17" t="n">
        <v>28</v>
      </c>
      <c r="F262" s="17" t="s">
        <v>603</v>
      </c>
      <c r="G262" s="17" t="s">
        <v>465</v>
      </c>
      <c r="H262" s="20" t="n">
        <v>46304</v>
      </c>
    </row>
    <row r="263" customFormat="false" ht="15" hidden="false" customHeight="true" outlineLevel="0" collapsed="false">
      <c r="A263" s="17" t="s">
        <v>604</v>
      </c>
      <c r="B263" s="17" t="s">
        <v>605</v>
      </c>
      <c r="C263" s="17" t="s">
        <v>437</v>
      </c>
      <c r="D263" s="17" t="s">
        <v>438</v>
      </c>
      <c r="E263" s="17" t="s">
        <v>439</v>
      </c>
      <c r="F263" s="17" t="s">
        <v>606</v>
      </c>
      <c r="G263" s="17" t="s">
        <v>465</v>
      </c>
      <c r="H263" s="20" t="n">
        <v>46307</v>
      </c>
    </row>
    <row r="264" customFormat="false" ht="15" hidden="false" customHeight="true" outlineLevel="0" collapsed="false">
      <c r="A264" s="17" t="s">
        <v>604</v>
      </c>
      <c r="B264" s="17" t="s">
        <v>605</v>
      </c>
      <c r="C264" s="17" t="s">
        <v>442</v>
      </c>
      <c r="D264" s="17" t="s">
        <v>443</v>
      </c>
      <c r="E264" s="17" t="s">
        <v>439</v>
      </c>
      <c r="F264" s="17" t="s">
        <v>606</v>
      </c>
      <c r="G264" s="17" t="s">
        <v>465</v>
      </c>
      <c r="H264" s="20" t="n">
        <v>46307</v>
      </c>
    </row>
    <row r="265" customFormat="false" ht="15" hidden="false" customHeight="true" outlineLevel="0" collapsed="false">
      <c r="A265" s="17" t="s">
        <v>604</v>
      </c>
      <c r="B265" s="17" t="s">
        <v>605</v>
      </c>
      <c r="C265" s="17" t="s">
        <v>444</v>
      </c>
      <c r="D265" s="17" t="s">
        <v>445</v>
      </c>
      <c r="E265" s="17" t="s">
        <v>439</v>
      </c>
      <c r="F265" s="17" t="s">
        <v>606</v>
      </c>
      <c r="G265" s="17" t="s">
        <v>465</v>
      </c>
      <c r="H265" s="20" t="n">
        <v>46307</v>
      </c>
    </row>
    <row r="266" customFormat="false" ht="15" hidden="false" customHeight="true" outlineLevel="0" collapsed="false">
      <c r="A266" s="17" t="s">
        <v>604</v>
      </c>
      <c r="B266" s="17" t="s">
        <v>605</v>
      </c>
      <c r="C266" s="17" t="s">
        <v>446</v>
      </c>
      <c r="D266" s="17" t="s">
        <v>447</v>
      </c>
      <c r="E266" s="17" t="s">
        <v>439</v>
      </c>
      <c r="F266" s="17" t="s">
        <v>606</v>
      </c>
      <c r="G266" s="17" t="s">
        <v>465</v>
      </c>
      <c r="H266" s="20" t="n">
        <v>46307</v>
      </c>
    </row>
    <row r="267" customFormat="false" ht="15" hidden="false" customHeight="true" outlineLevel="0" collapsed="false">
      <c r="A267" s="17" t="s">
        <v>604</v>
      </c>
      <c r="B267" s="17" t="s">
        <v>605</v>
      </c>
      <c r="C267" s="17" t="s">
        <v>448</v>
      </c>
      <c r="D267" s="17" t="s">
        <v>449</v>
      </c>
      <c r="E267" s="17" t="n">
        <v>22.5</v>
      </c>
      <c r="F267" s="17" t="s">
        <v>606</v>
      </c>
      <c r="G267" s="17" t="s">
        <v>465</v>
      </c>
      <c r="H267" s="20" t="n">
        <v>46307</v>
      </c>
    </row>
    <row r="268" customFormat="false" ht="15" hidden="false" customHeight="true" outlineLevel="0" collapsed="false">
      <c r="A268" s="17" t="s">
        <v>607</v>
      </c>
      <c r="B268" s="17" t="s">
        <v>608</v>
      </c>
      <c r="C268" s="17" t="s">
        <v>437</v>
      </c>
      <c r="D268" s="17" t="s">
        <v>438</v>
      </c>
      <c r="E268" s="17" t="s">
        <v>439</v>
      </c>
      <c r="F268" s="17" t="s">
        <v>609</v>
      </c>
      <c r="G268" s="17" t="s">
        <v>441</v>
      </c>
      <c r="H268" s="20" t="n">
        <v>46307</v>
      </c>
    </row>
    <row r="269" customFormat="false" ht="15" hidden="false" customHeight="true" outlineLevel="0" collapsed="false">
      <c r="A269" s="17" t="s">
        <v>607</v>
      </c>
      <c r="B269" s="17" t="s">
        <v>608</v>
      </c>
      <c r="C269" s="17" t="s">
        <v>442</v>
      </c>
      <c r="D269" s="17" t="s">
        <v>443</v>
      </c>
      <c r="E269" s="17" t="s">
        <v>439</v>
      </c>
      <c r="F269" s="17" t="s">
        <v>609</v>
      </c>
      <c r="G269" s="17" t="s">
        <v>441</v>
      </c>
      <c r="H269" s="20" t="n">
        <v>46307</v>
      </c>
    </row>
    <row r="270" customFormat="false" ht="15" hidden="false" customHeight="true" outlineLevel="0" collapsed="false">
      <c r="A270" s="17" t="s">
        <v>607</v>
      </c>
      <c r="B270" s="17" t="s">
        <v>608</v>
      </c>
      <c r="C270" s="17" t="s">
        <v>444</v>
      </c>
      <c r="D270" s="17" t="s">
        <v>445</v>
      </c>
      <c r="E270" s="17" t="s">
        <v>439</v>
      </c>
      <c r="F270" s="17" t="s">
        <v>609</v>
      </c>
      <c r="G270" s="17" t="s">
        <v>441</v>
      </c>
      <c r="H270" s="20" t="n">
        <v>46307</v>
      </c>
    </row>
    <row r="271" customFormat="false" ht="15" hidden="false" customHeight="true" outlineLevel="0" collapsed="false">
      <c r="A271" s="17" t="s">
        <v>607</v>
      </c>
      <c r="B271" s="17" t="s">
        <v>608</v>
      </c>
      <c r="C271" s="17" t="s">
        <v>446</v>
      </c>
      <c r="D271" s="17" t="s">
        <v>447</v>
      </c>
      <c r="E271" s="17" t="s">
        <v>439</v>
      </c>
      <c r="F271" s="17" t="s">
        <v>609</v>
      </c>
      <c r="G271" s="17" t="s">
        <v>441</v>
      </c>
      <c r="H271" s="20" t="n">
        <v>46307</v>
      </c>
    </row>
    <row r="272" customFormat="false" ht="15" hidden="false" customHeight="true" outlineLevel="0" collapsed="false">
      <c r="A272" s="17" t="s">
        <v>607</v>
      </c>
      <c r="B272" s="17" t="s">
        <v>608</v>
      </c>
      <c r="C272" s="17" t="s">
        <v>448</v>
      </c>
      <c r="D272" s="17" t="s">
        <v>449</v>
      </c>
      <c r="E272" s="17" t="n">
        <v>25</v>
      </c>
      <c r="F272" s="17" t="s">
        <v>609</v>
      </c>
      <c r="G272" s="17" t="s">
        <v>441</v>
      </c>
      <c r="H272" s="20" t="n">
        <v>46307</v>
      </c>
    </row>
    <row r="273" customFormat="false" ht="15" hidden="false" customHeight="true" outlineLevel="0" collapsed="false">
      <c r="A273" s="17" t="s">
        <v>610</v>
      </c>
      <c r="B273" s="17" t="s">
        <v>611</v>
      </c>
      <c r="C273" s="17" t="s">
        <v>437</v>
      </c>
      <c r="D273" s="17" t="s">
        <v>438</v>
      </c>
      <c r="E273" s="17" t="s">
        <v>439</v>
      </c>
      <c r="F273" s="17" t="s">
        <v>612</v>
      </c>
      <c r="G273" s="17" t="s">
        <v>465</v>
      </c>
      <c r="H273" s="20" t="n">
        <v>46309</v>
      </c>
    </row>
    <row r="274" customFormat="false" ht="15" hidden="false" customHeight="true" outlineLevel="0" collapsed="false">
      <c r="A274" s="17" t="s">
        <v>610</v>
      </c>
      <c r="B274" s="17" t="s">
        <v>611</v>
      </c>
      <c r="C274" s="17" t="s">
        <v>442</v>
      </c>
      <c r="D274" s="17" t="s">
        <v>443</v>
      </c>
      <c r="E274" s="17" t="s">
        <v>439</v>
      </c>
      <c r="F274" s="17" t="s">
        <v>612</v>
      </c>
      <c r="G274" s="17" t="s">
        <v>465</v>
      </c>
      <c r="H274" s="20" t="n">
        <v>46309</v>
      </c>
    </row>
    <row r="275" customFormat="false" ht="15" hidden="false" customHeight="true" outlineLevel="0" collapsed="false">
      <c r="A275" s="17" t="s">
        <v>610</v>
      </c>
      <c r="B275" s="17" t="s">
        <v>611</v>
      </c>
      <c r="C275" s="17" t="s">
        <v>444</v>
      </c>
      <c r="D275" s="17" t="s">
        <v>445</v>
      </c>
      <c r="E275" s="17" t="s">
        <v>439</v>
      </c>
      <c r="F275" s="17" t="s">
        <v>612</v>
      </c>
      <c r="G275" s="17" t="s">
        <v>465</v>
      </c>
      <c r="H275" s="20" t="n">
        <v>46309</v>
      </c>
    </row>
    <row r="276" customFormat="false" ht="15" hidden="false" customHeight="true" outlineLevel="0" collapsed="false">
      <c r="A276" s="17" t="s">
        <v>610</v>
      </c>
      <c r="B276" s="17" t="s">
        <v>611</v>
      </c>
      <c r="C276" s="17" t="s">
        <v>446</v>
      </c>
      <c r="D276" s="17" t="s">
        <v>447</v>
      </c>
      <c r="E276" s="17" t="n">
        <v>24.8</v>
      </c>
      <c r="F276" s="17" t="s">
        <v>612</v>
      </c>
      <c r="G276" s="17" t="s">
        <v>465</v>
      </c>
      <c r="H276" s="20" t="n">
        <v>46309</v>
      </c>
    </row>
    <row r="277" customFormat="false" ht="15" hidden="false" customHeight="true" outlineLevel="0" collapsed="false">
      <c r="A277" s="17" t="s">
        <v>610</v>
      </c>
      <c r="B277" s="17" t="s">
        <v>611</v>
      </c>
      <c r="C277" s="17" t="s">
        <v>448</v>
      </c>
      <c r="D277" s="17" t="s">
        <v>449</v>
      </c>
      <c r="E277" s="17" t="n">
        <v>22.3</v>
      </c>
      <c r="F277" s="17" t="s">
        <v>612</v>
      </c>
      <c r="G277" s="17" t="s">
        <v>465</v>
      </c>
      <c r="H277" s="20" t="n">
        <v>46309</v>
      </c>
    </row>
    <row r="278" customFormat="false" ht="15" hidden="false" customHeight="true" outlineLevel="0" collapsed="false">
      <c r="A278" s="17" t="s">
        <v>613</v>
      </c>
      <c r="B278" s="17" t="s">
        <v>614</v>
      </c>
      <c r="C278" s="17" t="s">
        <v>437</v>
      </c>
      <c r="D278" s="17" t="s">
        <v>438</v>
      </c>
      <c r="E278" s="17" t="s">
        <v>439</v>
      </c>
      <c r="F278" s="17" t="s">
        <v>615</v>
      </c>
      <c r="G278" s="17" t="s">
        <v>441</v>
      </c>
      <c r="H278" s="20" t="n">
        <v>46310</v>
      </c>
    </row>
    <row r="279" customFormat="false" ht="15" hidden="false" customHeight="true" outlineLevel="0" collapsed="false">
      <c r="A279" s="17" t="s">
        <v>613</v>
      </c>
      <c r="B279" s="17" t="s">
        <v>614</v>
      </c>
      <c r="C279" s="17" t="s">
        <v>442</v>
      </c>
      <c r="D279" s="17" t="s">
        <v>443</v>
      </c>
      <c r="E279" s="17" t="s">
        <v>439</v>
      </c>
      <c r="F279" s="17" t="s">
        <v>615</v>
      </c>
      <c r="G279" s="17" t="s">
        <v>441</v>
      </c>
      <c r="H279" s="20" t="n">
        <v>46310</v>
      </c>
    </row>
    <row r="280" customFormat="false" ht="15" hidden="false" customHeight="true" outlineLevel="0" collapsed="false">
      <c r="A280" s="17" t="s">
        <v>613</v>
      </c>
      <c r="B280" s="17" t="s">
        <v>614</v>
      </c>
      <c r="C280" s="17" t="s">
        <v>444</v>
      </c>
      <c r="D280" s="17" t="s">
        <v>445</v>
      </c>
      <c r="E280" s="17" t="s">
        <v>439</v>
      </c>
      <c r="F280" s="17" t="s">
        <v>615</v>
      </c>
      <c r="G280" s="17" t="s">
        <v>441</v>
      </c>
      <c r="H280" s="20" t="n">
        <v>46310</v>
      </c>
    </row>
    <row r="281" customFormat="false" ht="15" hidden="false" customHeight="true" outlineLevel="0" collapsed="false">
      <c r="A281" s="17" t="s">
        <v>613</v>
      </c>
      <c r="B281" s="17" t="s">
        <v>614</v>
      </c>
      <c r="C281" s="17" t="s">
        <v>446</v>
      </c>
      <c r="D281" s="17" t="s">
        <v>447</v>
      </c>
      <c r="E281" s="17" t="s">
        <v>439</v>
      </c>
      <c r="F281" s="17" t="s">
        <v>615</v>
      </c>
      <c r="G281" s="17" t="s">
        <v>441</v>
      </c>
      <c r="H281" s="20" t="n">
        <v>46310</v>
      </c>
    </row>
    <row r="282" customFormat="false" ht="15" hidden="false" customHeight="true" outlineLevel="0" collapsed="false">
      <c r="A282" s="17" t="s">
        <v>613</v>
      </c>
      <c r="B282" s="17" t="s">
        <v>614</v>
      </c>
      <c r="C282" s="17" t="s">
        <v>448</v>
      </c>
      <c r="D282" s="17" t="s">
        <v>449</v>
      </c>
      <c r="E282" s="17" t="n">
        <v>25.5</v>
      </c>
      <c r="F282" s="17" t="s">
        <v>615</v>
      </c>
      <c r="G282" s="17" t="s">
        <v>441</v>
      </c>
      <c r="H282" s="20" t="n">
        <v>46310</v>
      </c>
    </row>
    <row r="283" customFormat="false" ht="15" hidden="false" customHeight="true" outlineLevel="0" collapsed="false">
      <c r="A283" s="17" t="s">
        <v>616</v>
      </c>
      <c r="B283" s="17" t="s">
        <v>617</v>
      </c>
      <c r="C283" s="17" t="s">
        <v>437</v>
      </c>
      <c r="D283" s="17" t="s">
        <v>438</v>
      </c>
      <c r="E283" s="17" t="n">
        <v>30.1</v>
      </c>
      <c r="F283" s="17" t="s">
        <v>618</v>
      </c>
      <c r="G283" s="17" t="s">
        <v>441</v>
      </c>
      <c r="H283" s="20" t="n">
        <v>46312</v>
      </c>
    </row>
    <row r="284" customFormat="false" ht="15" hidden="false" customHeight="true" outlineLevel="0" collapsed="false">
      <c r="A284" s="17" t="s">
        <v>616</v>
      </c>
      <c r="B284" s="17" t="s">
        <v>617</v>
      </c>
      <c r="C284" s="17" t="s">
        <v>442</v>
      </c>
      <c r="D284" s="17" t="s">
        <v>443</v>
      </c>
      <c r="E284" s="17" t="s">
        <v>439</v>
      </c>
      <c r="F284" s="17" t="s">
        <v>618</v>
      </c>
      <c r="G284" s="17" t="s">
        <v>441</v>
      </c>
      <c r="H284" s="20" t="n">
        <v>46312</v>
      </c>
    </row>
    <row r="285" customFormat="false" ht="15" hidden="false" customHeight="true" outlineLevel="0" collapsed="false">
      <c r="A285" s="17" t="s">
        <v>616</v>
      </c>
      <c r="B285" s="17" t="s">
        <v>617</v>
      </c>
      <c r="C285" s="17" t="s">
        <v>444</v>
      </c>
      <c r="D285" s="17" t="s">
        <v>445</v>
      </c>
      <c r="E285" s="17" t="s">
        <v>439</v>
      </c>
      <c r="F285" s="17" t="s">
        <v>618</v>
      </c>
      <c r="G285" s="17" t="s">
        <v>441</v>
      </c>
      <c r="H285" s="20" t="n">
        <v>46312</v>
      </c>
    </row>
    <row r="286" customFormat="false" ht="15" hidden="false" customHeight="true" outlineLevel="0" collapsed="false">
      <c r="A286" s="17" t="s">
        <v>616</v>
      </c>
      <c r="B286" s="17" t="s">
        <v>617</v>
      </c>
      <c r="C286" s="17" t="s">
        <v>446</v>
      </c>
      <c r="D286" s="17" t="s">
        <v>447</v>
      </c>
      <c r="E286" s="17" t="s">
        <v>439</v>
      </c>
      <c r="F286" s="17" t="s">
        <v>618</v>
      </c>
      <c r="G286" s="17" t="s">
        <v>441</v>
      </c>
      <c r="H286" s="20" t="n">
        <v>46312</v>
      </c>
    </row>
    <row r="287" customFormat="false" ht="15" hidden="false" customHeight="true" outlineLevel="0" collapsed="false">
      <c r="A287" s="17" t="s">
        <v>616</v>
      </c>
      <c r="B287" s="17" t="s">
        <v>617</v>
      </c>
      <c r="C287" s="17" t="s">
        <v>448</v>
      </c>
      <c r="D287" s="17" t="s">
        <v>449</v>
      </c>
      <c r="E287" s="17" t="n">
        <v>28</v>
      </c>
      <c r="F287" s="17" t="s">
        <v>618</v>
      </c>
      <c r="G287" s="17" t="s">
        <v>441</v>
      </c>
      <c r="H287" s="20" t="n">
        <v>46312</v>
      </c>
    </row>
    <row r="288" customFormat="false" ht="15" hidden="false" customHeight="true" outlineLevel="0" collapsed="false">
      <c r="A288" s="17" t="s">
        <v>619</v>
      </c>
      <c r="B288" s="17" t="s">
        <v>620</v>
      </c>
      <c r="C288" s="17" t="s">
        <v>437</v>
      </c>
      <c r="D288" s="17" t="s">
        <v>438</v>
      </c>
      <c r="E288" s="17" t="s">
        <v>439</v>
      </c>
      <c r="F288" s="17" t="s">
        <v>621</v>
      </c>
      <c r="G288" s="17" t="s">
        <v>441</v>
      </c>
      <c r="H288" s="20" t="n">
        <v>46309</v>
      </c>
    </row>
    <row r="289" customFormat="false" ht="15" hidden="false" customHeight="true" outlineLevel="0" collapsed="false">
      <c r="A289" s="17" t="s">
        <v>619</v>
      </c>
      <c r="B289" s="17" t="s">
        <v>620</v>
      </c>
      <c r="C289" s="17" t="s">
        <v>442</v>
      </c>
      <c r="D289" s="17" t="s">
        <v>443</v>
      </c>
      <c r="E289" s="17" t="s">
        <v>439</v>
      </c>
      <c r="F289" s="17" t="s">
        <v>621</v>
      </c>
      <c r="G289" s="17" t="s">
        <v>441</v>
      </c>
      <c r="H289" s="20" t="n">
        <v>46309</v>
      </c>
    </row>
    <row r="290" customFormat="false" ht="15" hidden="false" customHeight="true" outlineLevel="0" collapsed="false">
      <c r="A290" s="17" t="s">
        <v>619</v>
      </c>
      <c r="B290" s="17" t="s">
        <v>620</v>
      </c>
      <c r="C290" s="17" t="s">
        <v>444</v>
      </c>
      <c r="D290" s="17" t="s">
        <v>445</v>
      </c>
      <c r="E290" s="17" t="s">
        <v>439</v>
      </c>
      <c r="F290" s="17" t="s">
        <v>621</v>
      </c>
      <c r="G290" s="17" t="s">
        <v>441</v>
      </c>
      <c r="H290" s="20" t="n">
        <v>46309</v>
      </c>
    </row>
    <row r="291" customFormat="false" ht="15" hidden="false" customHeight="true" outlineLevel="0" collapsed="false">
      <c r="A291" s="17" t="s">
        <v>619</v>
      </c>
      <c r="B291" s="17" t="s">
        <v>620</v>
      </c>
      <c r="C291" s="17" t="s">
        <v>446</v>
      </c>
      <c r="D291" s="17" t="s">
        <v>447</v>
      </c>
      <c r="E291" s="17" t="s">
        <v>439</v>
      </c>
      <c r="F291" s="17" t="s">
        <v>621</v>
      </c>
      <c r="G291" s="17" t="s">
        <v>441</v>
      </c>
      <c r="H291" s="20" t="n">
        <v>46309</v>
      </c>
    </row>
    <row r="292" customFormat="false" ht="15" hidden="false" customHeight="true" outlineLevel="0" collapsed="false">
      <c r="A292" s="17" t="s">
        <v>619</v>
      </c>
      <c r="B292" s="17" t="s">
        <v>620</v>
      </c>
      <c r="C292" s="17" t="s">
        <v>448</v>
      </c>
      <c r="D292" s="17" t="s">
        <v>449</v>
      </c>
      <c r="E292" s="17" t="n">
        <v>28</v>
      </c>
      <c r="F292" s="17" t="s">
        <v>621</v>
      </c>
      <c r="G292" s="17" t="s">
        <v>441</v>
      </c>
      <c r="H292" s="20" t="n">
        <v>46309</v>
      </c>
    </row>
    <row r="293" customFormat="false" ht="15" hidden="false" customHeight="true" outlineLevel="0" collapsed="false">
      <c r="A293" s="17" t="s">
        <v>622</v>
      </c>
      <c r="B293" s="17" t="s">
        <v>623</v>
      </c>
      <c r="C293" s="17" t="s">
        <v>437</v>
      </c>
      <c r="D293" s="17" t="s">
        <v>438</v>
      </c>
      <c r="E293" s="17" t="s">
        <v>439</v>
      </c>
      <c r="F293" s="17" t="s">
        <v>624</v>
      </c>
      <c r="G293" s="17" t="s">
        <v>441</v>
      </c>
      <c r="H293" s="20" t="n">
        <v>46314</v>
      </c>
    </row>
    <row r="294" customFormat="false" ht="15" hidden="false" customHeight="true" outlineLevel="0" collapsed="false">
      <c r="A294" s="17" t="s">
        <v>622</v>
      </c>
      <c r="B294" s="17" t="s">
        <v>623</v>
      </c>
      <c r="C294" s="17" t="s">
        <v>442</v>
      </c>
      <c r="D294" s="17" t="s">
        <v>443</v>
      </c>
      <c r="E294" s="17" t="s">
        <v>439</v>
      </c>
      <c r="F294" s="17" t="s">
        <v>624</v>
      </c>
      <c r="G294" s="17" t="s">
        <v>441</v>
      </c>
      <c r="H294" s="20" t="n">
        <v>46314</v>
      </c>
    </row>
    <row r="295" customFormat="false" ht="15" hidden="false" customHeight="true" outlineLevel="0" collapsed="false">
      <c r="A295" s="17" t="s">
        <v>622</v>
      </c>
      <c r="B295" s="17" t="s">
        <v>623</v>
      </c>
      <c r="C295" s="17" t="s">
        <v>444</v>
      </c>
      <c r="D295" s="17" t="s">
        <v>445</v>
      </c>
      <c r="E295" s="17" t="s">
        <v>439</v>
      </c>
      <c r="F295" s="17" t="s">
        <v>624</v>
      </c>
      <c r="G295" s="17" t="s">
        <v>441</v>
      </c>
      <c r="H295" s="20" t="n">
        <v>46314</v>
      </c>
    </row>
    <row r="296" customFormat="false" ht="15" hidden="false" customHeight="true" outlineLevel="0" collapsed="false">
      <c r="A296" s="17" t="s">
        <v>622</v>
      </c>
      <c r="B296" s="17" t="s">
        <v>623</v>
      </c>
      <c r="C296" s="17" t="s">
        <v>446</v>
      </c>
      <c r="D296" s="17" t="s">
        <v>447</v>
      </c>
      <c r="E296" s="17" t="s">
        <v>439</v>
      </c>
      <c r="F296" s="17" t="s">
        <v>624</v>
      </c>
      <c r="G296" s="17" t="s">
        <v>441</v>
      </c>
      <c r="H296" s="20" t="n">
        <v>46314</v>
      </c>
    </row>
    <row r="297" customFormat="false" ht="15" hidden="false" customHeight="true" outlineLevel="0" collapsed="false">
      <c r="A297" s="17" t="s">
        <v>622</v>
      </c>
      <c r="B297" s="17" t="s">
        <v>623</v>
      </c>
      <c r="C297" s="17" t="s">
        <v>448</v>
      </c>
      <c r="D297" s="17" t="s">
        <v>449</v>
      </c>
      <c r="E297" s="17" t="n">
        <v>28.1</v>
      </c>
      <c r="F297" s="17" t="s">
        <v>624</v>
      </c>
      <c r="G297" s="17" t="s">
        <v>441</v>
      </c>
      <c r="H297" s="20" t="n">
        <v>46314</v>
      </c>
    </row>
    <row r="298" customFormat="false" ht="15" hidden="false" customHeight="true" outlineLevel="0" collapsed="false">
      <c r="A298" s="17" t="s">
        <v>625</v>
      </c>
      <c r="B298" s="17" t="s">
        <v>626</v>
      </c>
      <c r="C298" s="17" t="s">
        <v>437</v>
      </c>
      <c r="D298" s="17" t="s">
        <v>438</v>
      </c>
      <c r="E298" s="17" t="s">
        <v>439</v>
      </c>
      <c r="F298" s="17" t="s">
        <v>627</v>
      </c>
      <c r="G298" s="17" t="s">
        <v>465</v>
      </c>
      <c r="H298" s="20" t="n">
        <v>46314</v>
      </c>
    </row>
    <row r="299" customFormat="false" ht="15" hidden="false" customHeight="true" outlineLevel="0" collapsed="false">
      <c r="A299" s="17" t="s">
        <v>625</v>
      </c>
      <c r="B299" s="17" t="s">
        <v>626</v>
      </c>
      <c r="C299" s="17" t="s">
        <v>442</v>
      </c>
      <c r="D299" s="17" t="s">
        <v>443</v>
      </c>
      <c r="E299" s="17" t="s">
        <v>439</v>
      </c>
      <c r="F299" s="17" t="s">
        <v>627</v>
      </c>
      <c r="G299" s="17" t="s">
        <v>465</v>
      </c>
      <c r="H299" s="20" t="n">
        <v>46314</v>
      </c>
    </row>
    <row r="300" customFormat="false" ht="15" hidden="false" customHeight="true" outlineLevel="0" collapsed="false">
      <c r="A300" s="17" t="s">
        <v>625</v>
      </c>
      <c r="B300" s="17" t="s">
        <v>626</v>
      </c>
      <c r="C300" s="17" t="s">
        <v>444</v>
      </c>
      <c r="D300" s="17" t="s">
        <v>445</v>
      </c>
      <c r="E300" s="17" t="s">
        <v>439</v>
      </c>
      <c r="F300" s="17" t="s">
        <v>627</v>
      </c>
      <c r="G300" s="17" t="s">
        <v>465</v>
      </c>
      <c r="H300" s="20" t="n">
        <v>46314</v>
      </c>
    </row>
    <row r="301" customFormat="false" ht="15" hidden="false" customHeight="true" outlineLevel="0" collapsed="false">
      <c r="A301" s="17" t="s">
        <v>625</v>
      </c>
      <c r="B301" s="17" t="s">
        <v>626</v>
      </c>
      <c r="C301" s="17" t="s">
        <v>446</v>
      </c>
      <c r="D301" s="17" t="s">
        <v>447</v>
      </c>
      <c r="E301" s="17" t="s">
        <v>439</v>
      </c>
      <c r="F301" s="17" t="s">
        <v>627</v>
      </c>
      <c r="G301" s="17" t="s">
        <v>465</v>
      </c>
      <c r="H301" s="20" t="n">
        <v>46314</v>
      </c>
    </row>
    <row r="302" customFormat="false" ht="15" hidden="false" customHeight="true" outlineLevel="0" collapsed="false">
      <c r="A302" s="17" t="s">
        <v>625</v>
      </c>
      <c r="B302" s="17" t="s">
        <v>626</v>
      </c>
      <c r="C302" s="17" t="s">
        <v>448</v>
      </c>
      <c r="D302" s="17" t="s">
        <v>449</v>
      </c>
      <c r="E302" s="17" t="n">
        <v>29.6</v>
      </c>
      <c r="F302" s="17" t="s">
        <v>627</v>
      </c>
      <c r="G302" s="17" t="s">
        <v>465</v>
      </c>
      <c r="H302" s="20" t="n">
        <v>46314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12"/>
    <col collapsed="false" customWidth="true" hidden="false" outlineLevel="0" max="4" min="3" style="1" width="9"/>
    <col collapsed="false" customWidth="true" hidden="false" outlineLevel="0" max="5" min="5" style="1" width="16"/>
    <col collapsed="false" customWidth="true" hidden="false" outlineLevel="0" max="6" min="6" style="1" width="9"/>
    <col collapsed="false" customWidth="true" hidden="false" outlineLevel="0" max="7" min="7" style="1" width="15"/>
    <col collapsed="false" customWidth="true" hidden="false" outlineLevel="0" max="8" min="8" style="1" width="22"/>
    <col collapsed="false" customWidth="true" hidden="false" outlineLevel="0" max="9" min="9" style="1" width="12"/>
  </cols>
  <sheetData>
    <row r="1" customFormat="false" ht="15" hidden="false" customHeight="true" outlineLevel="0" collapsed="false">
      <c r="A1" s="10" t="s">
        <v>628</v>
      </c>
    </row>
    <row r="2" customFormat="false" ht="23.25" hidden="false" customHeight="true" outlineLevel="0" collapsed="false">
      <c r="A2" s="22" t="s">
        <v>629</v>
      </c>
      <c r="B2" s="22" t="s">
        <v>40</v>
      </c>
      <c r="C2" s="22" t="s">
        <v>437</v>
      </c>
      <c r="D2" s="22" t="s">
        <v>442</v>
      </c>
      <c r="E2" s="22" t="s">
        <v>630</v>
      </c>
      <c r="F2" s="22" t="s">
        <v>631</v>
      </c>
      <c r="G2" s="22" t="s">
        <v>632</v>
      </c>
      <c r="H2" s="22" t="s">
        <v>433</v>
      </c>
      <c r="I2" s="22" t="s">
        <v>434</v>
      </c>
    </row>
    <row r="3" customFormat="false" ht="15" hidden="false" customHeight="true" outlineLevel="0" collapsed="false">
      <c r="A3" s="17" t="s">
        <v>633</v>
      </c>
      <c r="B3" s="17" t="s">
        <v>634</v>
      </c>
      <c r="C3" s="17" t="s">
        <v>635</v>
      </c>
      <c r="D3" s="17" t="s">
        <v>635</v>
      </c>
      <c r="E3" s="17" t="s">
        <v>635</v>
      </c>
      <c r="F3" s="17" t="s">
        <v>636</v>
      </c>
      <c r="G3" s="17" t="s">
        <v>68</v>
      </c>
      <c r="H3" s="17" t="s">
        <v>637</v>
      </c>
      <c r="I3" s="20" t="n">
        <v>46313</v>
      </c>
    </row>
    <row r="4" customFormat="false" ht="15" hidden="false" customHeight="true" outlineLevel="0" collapsed="false">
      <c r="A4" s="17" t="s">
        <v>638</v>
      </c>
      <c r="B4" s="17" t="s">
        <v>639</v>
      </c>
      <c r="C4" s="17" t="s">
        <v>635</v>
      </c>
      <c r="D4" s="17" t="s">
        <v>635</v>
      </c>
      <c r="E4" s="17" t="s">
        <v>635</v>
      </c>
      <c r="F4" s="17" t="s">
        <v>636</v>
      </c>
      <c r="G4" s="17" t="s">
        <v>68</v>
      </c>
      <c r="H4" s="17" t="s">
        <v>640</v>
      </c>
      <c r="I4" s="20" t="n">
        <v>46306</v>
      </c>
    </row>
    <row r="5" customFormat="false" ht="15" hidden="false" customHeight="true" outlineLevel="0" collapsed="false">
      <c r="A5" s="17" t="s">
        <v>641</v>
      </c>
      <c r="B5" s="17" t="s">
        <v>642</v>
      </c>
      <c r="C5" s="17" t="s">
        <v>635</v>
      </c>
      <c r="D5" s="17" t="s">
        <v>635</v>
      </c>
      <c r="E5" s="17" t="s">
        <v>635</v>
      </c>
      <c r="F5" s="17" t="s">
        <v>636</v>
      </c>
      <c r="G5" s="17" t="s">
        <v>68</v>
      </c>
      <c r="H5" s="17" t="s">
        <v>640</v>
      </c>
      <c r="I5" s="20" t="n">
        <v>46305</v>
      </c>
    </row>
    <row r="6" customFormat="false" ht="15" hidden="false" customHeight="true" outlineLevel="0" collapsed="false">
      <c r="A6" s="17" t="s">
        <v>643</v>
      </c>
      <c r="B6" s="17" t="s">
        <v>644</v>
      </c>
      <c r="C6" s="17" t="s">
        <v>645</v>
      </c>
      <c r="D6" s="17" t="s">
        <v>635</v>
      </c>
      <c r="E6" s="17" t="s">
        <v>635</v>
      </c>
      <c r="F6" s="17" t="s">
        <v>636</v>
      </c>
      <c r="G6" s="17" t="s">
        <v>68</v>
      </c>
      <c r="H6" s="17" t="s">
        <v>637</v>
      </c>
      <c r="I6" s="20" t="n">
        <v>46304</v>
      </c>
    </row>
    <row r="7" customFormat="false" ht="15" hidden="false" customHeight="true" outlineLevel="0" collapsed="false">
      <c r="A7" s="17" t="s">
        <v>646</v>
      </c>
      <c r="B7" s="17" t="s">
        <v>647</v>
      </c>
      <c r="C7" s="17" t="s">
        <v>635</v>
      </c>
      <c r="D7" s="17" t="s">
        <v>635</v>
      </c>
      <c r="E7" s="17" t="s">
        <v>635</v>
      </c>
      <c r="F7" s="17" t="s">
        <v>636</v>
      </c>
      <c r="G7" s="17" t="s">
        <v>68</v>
      </c>
      <c r="H7" s="17" t="s">
        <v>640</v>
      </c>
      <c r="I7" s="20" t="n">
        <v>46306</v>
      </c>
    </row>
    <row r="8" customFormat="false" ht="15" hidden="false" customHeight="true" outlineLevel="0" collapsed="false">
      <c r="A8" s="17" t="s">
        <v>648</v>
      </c>
      <c r="B8" s="17" t="s">
        <v>649</v>
      </c>
      <c r="C8" s="17" t="s">
        <v>635</v>
      </c>
      <c r="D8" s="17" t="s">
        <v>635</v>
      </c>
      <c r="E8" s="17" t="s">
        <v>635</v>
      </c>
      <c r="F8" s="17" t="s">
        <v>636</v>
      </c>
      <c r="G8" s="17" t="s">
        <v>68</v>
      </c>
      <c r="H8" s="17" t="s">
        <v>640</v>
      </c>
      <c r="I8" s="20" t="n">
        <v>46304</v>
      </c>
    </row>
    <row r="9" customFormat="false" ht="15" hidden="false" customHeight="true" outlineLevel="0" collapsed="false">
      <c r="A9" s="17" t="s">
        <v>650</v>
      </c>
      <c r="B9" s="17" t="s">
        <v>651</v>
      </c>
      <c r="C9" s="17" t="s">
        <v>635</v>
      </c>
      <c r="D9" s="17" t="s">
        <v>635</v>
      </c>
      <c r="E9" s="17" t="s">
        <v>635</v>
      </c>
      <c r="F9" s="17" t="s">
        <v>636</v>
      </c>
      <c r="G9" s="17" t="s">
        <v>68</v>
      </c>
      <c r="H9" s="17" t="s">
        <v>637</v>
      </c>
      <c r="I9" s="20" t="n">
        <v>46313</v>
      </c>
    </row>
    <row r="10" customFormat="false" ht="15" hidden="false" customHeight="true" outlineLevel="0" collapsed="false">
      <c r="A10" s="17" t="s">
        <v>652</v>
      </c>
      <c r="B10" s="17" t="s">
        <v>653</v>
      </c>
      <c r="C10" s="17" t="s">
        <v>635</v>
      </c>
      <c r="D10" s="17" t="s">
        <v>635</v>
      </c>
      <c r="E10" s="17" t="s">
        <v>645</v>
      </c>
      <c r="F10" s="17" t="s">
        <v>636</v>
      </c>
      <c r="G10" s="17" t="s">
        <v>68</v>
      </c>
      <c r="H10" s="17" t="s">
        <v>640</v>
      </c>
      <c r="I10" s="20" t="n">
        <v>46313</v>
      </c>
    </row>
    <row r="11" customFormat="false" ht="15" hidden="false" customHeight="true" outlineLevel="0" collapsed="false">
      <c r="A11" s="17" t="s">
        <v>654</v>
      </c>
      <c r="B11" s="17" t="s">
        <v>655</v>
      </c>
      <c r="C11" s="17" t="s">
        <v>656</v>
      </c>
      <c r="D11" s="17" t="s">
        <v>656</v>
      </c>
      <c r="E11" s="17" t="s">
        <v>656</v>
      </c>
      <c r="F11" s="17" t="s">
        <v>656</v>
      </c>
      <c r="G11" s="17" t="s">
        <v>68</v>
      </c>
      <c r="H11" s="17" t="s">
        <v>640</v>
      </c>
      <c r="I11" s="20" t="n">
        <v>46312</v>
      </c>
    </row>
    <row r="12" customFormat="false" ht="15" hidden="false" customHeight="true" outlineLevel="0" collapsed="false">
      <c r="A12" s="17" t="s">
        <v>657</v>
      </c>
      <c r="B12" s="17" t="s">
        <v>658</v>
      </c>
      <c r="C12" s="17" t="s">
        <v>635</v>
      </c>
      <c r="D12" s="17" t="s">
        <v>635</v>
      </c>
      <c r="E12" s="17" t="s">
        <v>635</v>
      </c>
      <c r="F12" s="17" t="s">
        <v>636</v>
      </c>
      <c r="G12" s="17" t="s">
        <v>68</v>
      </c>
      <c r="H12" s="17" t="s">
        <v>637</v>
      </c>
      <c r="I12" s="20" t="n">
        <v>46309</v>
      </c>
    </row>
    <row r="13" customFormat="false" ht="15" hidden="false" customHeight="true" outlineLevel="0" collapsed="false">
      <c r="A13" s="17" t="s">
        <v>659</v>
      </c>
      <c r="B13" s="17" t="s">
        <v>660</v>
      </c>
      <c r="C13" s="17" t="s">
        <v>635</v>
      </c>
      <c r="D13" s="17" t="s">
        <v>635</v>
      </c>
      <c r="E13" s="17" t="s">
        <v>635</v>
      </c>
      <c r="F13" s="17" t="s">
        <v>636</v>
      </c>
      <c r="G13" s="17" t="s">
        <v>68</v>
      </c>
      <c r="H13" s="17" t="s">
        <v>640</v>
      </c>
      <c r="I13" s="20" t="n">
        <v>46310</v>
      </c>
    </row>
    <row r="14" customFormat="false" ht="15" hidden="false" customHeight="true" outlineLevel="0" collapsed="false">
      <c r="A14" s="17" t="s">
        <v>661</v>
      </c>
      <c r="B14" s="17" t="s">
        <v>662</v>
      </c>
      <c r="C14" s="17" t="s">
        <v>635</v>
      </c>
      <c r="D14" s="17" t="s">
        <v>635</v>
      </c>
      <c r="E14" s="17" t="s">
        <v>635</v>
      </c>
      <c r="F14" s="17" t="s">
        <v>636</v>
      </c>
      <c r="G14" s="17" t="s">
        <v>68</v>
      </c>
      <c r="H14" s="17" t="s">
        <v>640</v>
      </c>
      <c r="I14" s="20" t="n">
        <v>46315</v>
      </c>
    </row>
    <row r="15" customFormat="false" ht="15" hidden="false" customHeight="true" outlineLevel="0" collapsed="false">
      <c r="A15" s="17" t="s">
        <v>663</v>
      </c>
      <c r="B15" s="17" t="s">
        <v>664</v>
      </c>
      <c r="C15" s="17" t="s">
        <v>635</v>
      </c>
      <c r="D15" s="17" t="s">
        <v>635</v>
      </c>
      <c r="E15" s="17" t="s">
        <v>635</v>
      </c>
      <c r="F15" s="17" t="s">
        <v>636</v>
      </c>
      <c r="G15" s="17" t="s">
        <v>68</v>
      </c>
      <c r="H15" s="17" t="s">
        <v>637</v>
      </c>
      <c r="I15" s="20" t="n">
        <v>46310</v>
      </c>
    </row>
    <row r="16" customFormat="false" ht="15" hidden="false" customHeight="true" outlineLevel="0" collapsed="false">
      <c r="A16" s="17" t="s">
        <v>665</v>
      </c>
      <c r="B16" s="17" t="s">
        <v>666</v>
      </c>
      <c r="C16" s="17" t="s">
        <v>656</v>
      </c>
      <c r="D16" s="17" t="s">
        <v>656</v>
      </c>
      <c r="E16" s="17" t="s">
        <v>656</v>
      </c>
      <c r="F16" s="17" t="s">
        <v>656</v>
      </c>
      <c r="G16" s="17" t="s">
        <v>68</v>
      </c>
      <c r="H16" s="17" t="s">
        <v>640</v>
      </c>
      <c r="I16" s="20" t="n">
        <v>46309</v>
      </c>
    </row>
    <row r="17" customFormat="false" ht="15" hidden="false" customHeight="true" outlineLevel="0" collapsed="false">
      <c r="A17" s="17" t="s">
        <v>667</v>
      </c>
      <c r="B17" s="17" t="s">
        <v>668</v>
      </c>
      <c r="C17" s="17" t="s">
        <v>635</v>
      </c>
      <c r="D17" s="17" t="s">
        <v>635</v>
      </c>
      <c r="E17" s="17" t="s">
        <v>635</v>
      </c>
      <c r="F17" s="17" t="s">
        <v>636</v>
      </c>
      <c r="G17" s="17" t="s">
        <v>68</v>
      </c>
      <c r="H17" s="17" t="s">
        <v>640</v>
      </c>
      <c r="I17" s="20" t="n">
        <v>46308</v>
      </c>
    </row>
    <row r="18" customFormat="false" ht="15" hidden="false" customHeight="true" outlineLevel="0" collapsed="false">
      <c r="A18" s="17" t="s">
        <v>669</v>
      </c>
      <c r="B18" s="17" t="s">
        <v>670</v>
      </c>
      <c r="C18" s="17" t="s">
        <v>635</v>
      </c>
      <c r="D18" s="17" t="s">
        <v>635</v>
      </c>
      <c r="E18" s="17" t="s">
        <v>635</v>
      </c>
      <c r="F18" s="17" t="s">
        <v>636</v>
      </c>
      <c r="G18" s="17" t="s">
        <v>68</v>
      </c>
      <c r="H18" s="17" t="s">
        <v>637</v>
      </c>
      <c r="I18" s="20" t="n">
        <v>46304</v>
      </c>
    </row>
    <row r="19" customFormat="false" ht="15" hidden="false" customHeight="true" outlineLevel="0" collapsed="false">
      <c r="A19" s="17" t="s">
        <v>671</v>
      </c>
      <c r="B19" s="17" t="s">
        <v>672</v>
      </c>
      <c r="C19" s="17" t="s">
        <v>635</v>
      </c>
      <c r="D19" s="17" t="s">
        <v>645</v>
      </c>
      <c r="E19" s="17" t="s">
        <v>635</v>
      </c>
      <c r="F19" s="17" t="s">
        <v>636</v>
      </c>
      <c r="G19" s="17" t="s">
        <v>68</v>
      </c>
      <c r="H19" s="17" t="s">
        <v>640</v>
      </c>
      <c r="I19" s="20" t="n">
        <v>46311</v>
      </c>
    </row>
    <row r="20" customFormat="false" ht="15" hidden="false" customHeight="true" outlineLevel="0" collapsed="false">
      <c r="A20" s="17" t="s">
        <v>673</v>
      </c>
      <c r="B20" s="17" t="s">
        <v>674</v>
      </c>
      <c r="C20" s="17" t="s">
        <v>635</v>
      </c>
      <c r="D20" s="17" t="s">
        <v>635</v>
      </c>
      <c r="E20" s="17" t="s">
        <v>635</v>
      </c>
      <c r="F20" s="17" t="s">
        <v>636</v>
      </c>
      <c r="G20" s="17" t="s">
        <v>68</v>
      </c>
      <c r="H20" s="17" t="s">
        <v>640</v>
      </c>
      <c r="I20" s="20" t="n">
        <v>46315</v>
      </c>
    </row>
    <row r="21" customFormat="false" ht="15" hidden="false" customHeight="true" outlineLevel="0" collapsed="false">
      <c r="A21" s="17" t="s">
        <v>675</v>
      </c>
      <c r="B21" s="17" t="s">
        <v>676</v>
      </c>
      <c r="C21" s="17" t="s">
        <v>635</v>
      </c>
      <c r="D21" s="17" t="s">
        <v>635</v>
      </c>
      <c r="E21" s="17" t="s">
        <v>635</v>
      </c>
      <c r="F21" s="17" t="s">
        <v>636</v>
      </c>
      <c r="G21" s="17" t="s">
        <v>68</v>
      </c>
      <c r="H21" s="17" t="s">
        <v>637</v>
      </c>
      <c r="I21" s="20" t="n">
        <v>46306</v>
      </c>
    </row>
    <row r="22" customFormat="false" ht="15" hidden="false" customHeight="true" outlineLevel="0" collapsed="false">
      <c r="A22" s="17" t="s">
        <v>677</v>
      </c>
      <c r="B22" s="17" t="s">
        <v>678</v>
      </c>
      <c r="C22" s="17" t="s">
        <v>635</v>
      </c>
      <c r="D22" s="17" t="s">
        <v>635</v>
      </c>
      <c r="E22" s="17" t="s">
        <v>635</v>
      </c>
      <c r="F22" s="17" t="s">
        <v>636</v>
      </c>
      <c r="G22" s="17" t="s">
        <v>68</v>
      </c>
      <c r="H22" s="17" t="s">
        <v>640</v>
      </c>
      <c r="I22" s="20" t="n">
        <v>46308</v>
      </c>
    </row>
    <row r="23" customFormat="false" ht="15" hidden="false" customHeight="true" outlineLevel="0" collapsed="false">
      <c r="A23" s="17" t="s">
        <v>679</v>
      </c>
      <c r="B23" s="17" t="s">
        <v>680</v>
      </c>
      <c r="C23" s="17" t="s">
        <v>635</v>
      </c>
      <c r="D23" s="17" t="s">
        <v>635</v>
      </c>
      <c r="E23" s="17" t="s">
        <v>635</v>
      </c>
      <c r="F23" s="17" t="s">
        <v>636</v>
      </c>
      <c r="G23" s="17" t="s">
        <v>68</v>
      </c>
      <c r="H23" s="17" t="s">
        <v>640</v>
      </c>
      <c r="I23" s="20" t="n">
        <v>46310</v>
      </c>
    </row>
    <row r="24" customFormat="false" ht="15" hidden="false" customHeight="true" outlineLevel="0" collapsed="false">
      <c r="A24" s="17" t="s">
        <v>681</v>
      </c>
      <c r="B24" s="17" t="s">
        <v>682</v>
      </c>
      <c r="C24" s="17" t="s">
        <v>635</v>
      </c>
      <c r="D24" s="17" t="s">
        <v>635</v>
      </c>
      <c r="E24" s="17" t="s">
        <v>645</v>
      </c>
      <c r="F24" s="17" t="s">
        <v>636</v>
      </c>
      <c r="G24" s="17" t="s">
        <v>68</v>
      </c>
      <c r="H24" s="17" t="s">
        <v>637</v>
      </c>
      <c r="I24" s="20" t="n">
        <v>46313</v>
      </c>
    </row>
    <row r="25" customFormat="false" ht="15" hidden="false" customHeight="true" outlineLevel="0" collapsed="false">
      <c r="A25" s="17" t="s">
        <v>683</v>
      </c>
      <c r="B25" s="17" t="s">
        <v>684</v>
      </c>
      <c r="C25" s="17" t="s">
        <v>635</v>
      </c>
      <c r="D25" s="17" t="s">
        <v>635</v>
      </c>
      <c r="E25" s="17" t="s">
        <v>635</v>
      </c>
      <c r="F25" s="17" t="s">
        <v>636</v>
      </c>
      <c r="G25" s="17" t="s">
        <v>68</v>
      </c>
      <c r="H25" s="17" t="s">
        <v>640</v>
      </c>
      <c r="I25" s="20" t="n">
        <v>46313</v>
      </c>
    </row>
    <row r="26" customFormat="false" ht="15" hidden="false" customHeight="true" outlineLevel="0" collapsed="false">
      <c r="A26" s="17" t="s">
        <v>685</v>
      </c>
      <c r="B26" s="17" t="s">
        <v>686</v>
      </c>
      <c r="C26" s="17" t="s">
        <v>635</v>
      </c>
      <c r="D26" s="17" t="s">
        <v>635</v>
      </c>
      <c r="E26" s="17" t="s">
        <v>635</v>
      </c>
      <c r="F26" s="17" t="s">
        <v>636</v>
      </c>
      <c r="G26" s="17" t="s">
        <v>68</v>
      </c>
      <c r="H26" s="17" t="s">
        <v>640</v>
      </c>
      <c r="I26" s="20" t="n">
        <v>46307</v>
      </c>
    </row>
    <row r="27" customFormat="false" ht="15" hidden="false" customHeight="true" outlineLevel="0" collapsed="false">
      <c r="A27" s="17" t="s">
        <v>687</v>
      </c>
      <c r="B27" s="17" t="s">
        <v>688</v>
      </c>
      <c r="C27" s="17" t="s">
        <v>635</v>
      </c>
      <c r="D27" s="17" t="s">
        <v>635</v>
      </c>
      <c r="E27" s="17" t="s">
        <v>645</v>
      </c>
      <c r="F27" s="17" t="s">
        <v>636</v>
      </c>
      <c r="G27" s="17" t="s">
        <v>68</v>
      </c>
      <c r="H27" s="17" t="s">
        <v>637</v>
      </c>
      <c r="I27" s="20" t="n">
        <v>46307</v>
      </c>
    </row>
    <row r="28" customFormat="false" ht="15" hidden="false" customHeight="true" outlineLevel="0" collapsed="false">
      <c r="A28" s="17" t="s">
        <v>689</v>
      </c>
      <c r="B28" s="17" t="s">
        <v>690</v>
      </c>
      <c r="C28" s="17" t="s">
        <v>635</v>
      </c>
      <c r="D28" s="17" t="s">
        <v>635</v>
      </c>
      <c r="E28" s="17" t="s">
        <v>635</v>
      </c>
      <c r="F28" s="17" t="s">
        <v>636</v>
      </c>
      <c r="G28" s="17" t="s">
        <v>68</v>
      </c>
      <c r="H28" s="17" t="s">
        <v>640</v>
      </c>
      <c r="I28" s="20" t="n">
        <v>46304</v>
      </c>
    </row>
    <row r="29" customFormat="false" ht="15" hidden="false" customHeight="true" outlineLevel="0" collapsed="false">
      <c r="A29" s="17" t="s">
        <v>691</v>
      </c>
      <c r="B29" s="17" t="s">
        <v>692</v>
      </c>
      <c r="C29" s="17" t="s">
        <v>635</v>
      </c>
      <c r="D29" s="17" t="s">
        <v>635</v>
      </c>
      <c r="E29" s="17" t="s">
        <v>635</v>
      </c>
      <c r="F29" s="17" t="s">
        <v>636</v>
      </c>
      <c r="G29" s="17" t="s">
        <v>68</v>
      </c>
      <c r="H29" s="17" t="s">
        <v>640</v>
      </c>
      <c r="I29" s="20" t="n">
        <v>46304</v>
      </c>
    </row>
    <row r="30" customFormat="false" ht="15" hidden="false" customHeight="true" outlineLevel="0" collapsed="false">
      <c r="A30" s="17" t="s">
        <v>693</v>
      </c>
      <c r="B30" s="17" t="s">
        <v>694</v>
      </c>
      <c r="C30" s="17" t="s">
        <v>635</v>
      </c>
      <c r="D30" s="17" t="s">
        <v>635</v>
      </c>
      <c r="E30" s="17" t="s">
        <v>645</v>
      </c>
      <c r="F30" s="17" t="s">
        <v>636</v>
      </c>
      <c r="G30" s="17" t="s">
        <v>68</v>
      </c>
      <c r="H30" s="17" t="s">
        <v>637</v>
      </c>
      <c r="I30" s="20" t="n">
        <v>46306</v>
      </c>
    </row>
    <row r="31" customFormat="false" ht="15" hidden="false" customHeight="true" outlineLevel="0" collapsed="false">
      <c r="A31" s="17" t="s">
        <v>695</v>
      </c>
      <c r="B31" s="17" t="s">
        <v>696</v>
      </c>
      <c r="C31" s="17" t="s">
        <v>635</v>
      </c>
      <c r="D31" s="17" t="s">
        <v>635</v>
      </c>
      <c r="E31" s="17" t="s">
        <v>635</v>
      </c>
      <c r="F31" s="17" t="s">
        <v>636</v>
      </c>
      <c r="G31" s="17" t="s">
        <v>68</v>
      </c>
      <c r="H31" s="17" t="s">
        <v>640</v>
      </c>
      <c r="I31" s="20" t="n">
        <v>46311</v>
      </c>
    </row>
    <row r="32" customFormat="false" ht="15" hidden="false" customHeight="true" outlineLevel="0" collapsed="false">
      <c r="A32" s="17" t="s">
        <v>697</v>
      </c>
      <c r="B32" s="17" t="s">
        <v>698</v>
      </c>
      <c r="C32" s="17" t="s">
        <v>635</v>
      </c>
      <c r="D32" s="17" t="s">
        <v>635</v>
      </c>
      <c r="E32" s="17" t="s">
        <v>635</v>
      </c>
      <c r="F32" s="17" t="s">
        <v>636</v>
      </c>
      <c r="G32" s="17" t="s">
        <v>68</v>
      </c>
      <c r="H32" s="17" t="s">
        <v>640</v>
      </c>
      <c r="I32" s="20" t="n">
        <v>46314</v>
      </c>
    </row>
    <row r="33" customFormat="false" ht="15" hidden="false" customHeight="true" outlineLevel="0" collapsed="false">
      <c r="A33" s="17" t="s">
        <v>699</v>
      </c>
      <c r="B33" s="17" t="s">
        <v>700</v>
      </c>
      <c r="C33" s="17" t="s">
        <v>635</v>
      </c>
      <c r="D33" s="17" t="s">
        <v>635</v>
      </c>
      <c r="E33" s="17" t="s">
        <v>635</v>
      </c>
      <c r="F33" s="17" t="s">
        <v>636</v>
      </c>
      <c r="G33" s="17" t="s">
        <v>68</v>
      </c>
      <c r="H33" s="17" t="s">
        <v>637</v>
      </c>
      <c r="I33" s="20" t="n">
        <v>46308</v>
      </c>
    </row>
    <row r="34" customFormat="false" ht="15" hidden="false" customHeight="true" outlineLevel="0" collapsed="false">
      <c r="A34" s="17" t="s">
        <v>701</v>
      </c>
      <c r="B34" s="17" t="s">
        <v>702</v>
      </c>
      <c r="C34" s="17" t="s">
        <v>635</v>
      </c>
      <c r="D34" s="17" t="s">
        <v>635</v>
      </c>
      <c r="E34" s="17" t="s">
        <v>635</v>
      </c>
      <c r="F34" s="17" t="s">
        <v>636</v>
      </c>
      <c r="G34" s="17" t="s">
        <v>68</v>
      </c>
      <c r="H34" s="17" t="s">
        <v>640</v>
      </c>
      <c r="I34" s="20" t="n">
        <v>46304</v>
      </c>
    </row>
    <row r="35" customFormat="false" ht="15" hidden="false" customHeight="true" outlineLevel="0" collapsed="false">
      <c r="A35" s="17" t="s">
        <v>703</v>
      </c>
      <c r="B35" s="17" t="s">
        <v>704</v>
      </c>
      <c r="C35" s="17" t="s">
        <v>635</v>
      </c>
      <c r="D35" s="17" t="s">
        <v>635</v>
      </c>
      <c r="E35" s="17" t="s">
        <v>635</v>
      </c>
      <c r="F35" s="17" t="s">
        <v>636</v>
      </c>
      <c r="G35" s="17" t="s">
        <v>68</v>
      </c>
      <c r="H35" s="17" t="s">
        <v>640</v>
      </c>
      <c r="I35" s="20" t="n">
        <v>46305</v>
      </c>
    </row>
    <row r="36" customFormat="false" ht="15" hidden="false" customHeight="true" outlineLevel="0" collapsed="false">
      <c r="A36" s="17" t="s">
        <v>705</v>
      </c>
      <c r="B36" s="17" t="s">
        <v>706</v>
      </c>
      <c r="C36" s="17" t="s">
        <v>635</v>
      </c>
      <c r="D36" s="17" t="s">
        <v>635</v>
      </c>
      <c r="E36" s="17" t="s">
        <v>635</v>
      </c>
      <c r="F36" s="17" t="s">
        <v>636</v>
      </c>
      <c r="G36" s="17" t="s">
        <v>68</v>
      </c>
      <c r="H36" s="17" t="s">
        <v>637</v>
      </c>
      <c r="I36" s="20" t="n">
        <v>46308</v>
      </c>
    </row>
    <row r="37" customFormat="false" ht="15" hidden="false" customHeight="true" outlineLevel="0" collapsed="false">
      <c r="A37" s="17" t="s">
        <v>707</v>
      </c>
      <c r="B37" s="17" t="s">
        <v>708</v>
      </c>
      <c r="C37" s="17" t="s">
        <v>635</v>
      </c>
      <c r="D37" s="17" t="s">
        <v>635</v>
      </c>
      <c r="E37" s="17" t="s">
        <v>635</v>
      </c>
      <c r="F37" s="17" t="s">
        <v>636</v>
      </c>
      <c r="G37" s="17" t="s">
        <v>68</v>
      </c>
      <c r="H37" s="17" t="s">
        <v>640</v>
      </c>
      <c r="I37" s="20" t="n">
        <v>46313</v>
      </c>
    </row>
    <row r="38" customFormat="false" ht="15" hidden="false" customHeight="true" outlineLevel="0" collapsed="false">
      <c r="A38" s="17" t="s">
        <v>709</v>
      </c>
      <c r="B38" s="17" t="s">
        <v>710</v>
      </c>
      <c r="C38" s="17" t="s">
        <v>635</v>
      </c>
      <c r="D38" s="17" t="s">
        <v>635</v>
      </c>
      <c r="E38" s="17" t="s">
        <v>635</v>
      </c>
      <c r="F38" s="17" t="s">
        <v>636</v>
      </c>
      <c r="G38" s="17" t="s">
        <v>68</v>
      </c>
      <c r="H38" s="17" t="s">
        <v>640</v>
      </c>
      <c r="I38" s="20" t="n">
        <v>46313</v>
      </c>
    </row>
    <row r="39" customFormat="false" ht="15" hidden="false" customHeight="true" outlineLevel="0" collapsed="false">
      <c r="A39" s="17" t="s">
        <v>711</v>
      </c>
      <c r="B39" s="17" t="s">
        <v>712</v>
      </c>
      <c r="C39" s="17" t="s">
        <v>635</v>
      </c>
      <c r="D39" s="17" t="s">
        <v>635</v>
      </c>
      <c r="E39" s="17" t="s">
        <v>635</v>
      </c>
      <c r="F39" s="17" t="s">
        <v>636</v>
      </c>
      <c r="G39" s="17" t="s">
        <v>68</v>
      </c>
      <c r="H39" s="17" t="s">
        <v>637</v>
      </c>
      <c r="I39" s="20" t="n">
        <v>46307</v>
      </c>
    </row>
    <row r="40" customFormat="false" ht="15" hidden="false" customHeight="true" outlineLevel="0" collapsed="false">
      <c r="A40" s="17" t="s">
        <v>713</v>
      </c>
      <c r="B40" s="17" t="s">
        <v>714</v>
      </c>
      <c r="C40" s="17" t="s">
        <v>635</v>
      </c>
      <c r="D40" s="17" t="s">
        <v>635</v>
      </c>
      <c r="E40" s="17" t="s">
        <v>635</v>
      </c>
      <c r="F40" s="17" t="s">
        <v>636</v>
      </c>
      <c r="G40" s="17" t="s">
        <v>68</v>
      </c>
      <c r="H40" s="17" t="s">
        <v>640</v>
      </c>
      <c r="I40" s="20" t="n">
        <v>46309</v>
      </c>
    </row>
    <row r="41" customFormat="false" ht="15" hidden="false" customHeight="true" outlineLevel="0" collapsed="false">
      <c r="A41" s="17" t="s">
        <v>715</v>
      </c>
      <c r="B41" s="17" t="s">
        <v>716</v>
      </c>
      <c r="C41" s="17" t="s">
        <v>635</v>
      </c>
      <c r="D41" s="17" t="s">
        <v>635</v>
      </c>
      <c r="E41" s="17" t="s">
        <v>635</v>
      </c>
      <c r="F41" s="17" t="s">
        <v>636</v>
      </c>
      <c r="G41" s="17" t="s">
        <v>68</v>
      </c>
      <c r="H41" s="17" t="s">
        <v>640</v>
      </c>
      <c r="I41" s="20" t="n">
        <v>46305</v>
      </c>
    </row>
    <row r="42" customFormat="false" ht="15" hidden="false" customHeight="true" outlineLevel="0" collapsed="false">
      <c r="A42" s="17" t="s">
        <v>717</v>
      </c>
      <c r="B42" s="17" t="s">
        <v>718</v>
      </c>
      <c r="C42" s="17" t="s">
        <v>635</v>
      </c>
      <c r="D42" s="17" t="s">
        <v>635</v>
      </c>
      <c r="E42" s="17" t="s">
        <v>635</v>
      </c>
      <c r="F42" s="17" t="s">
        <v>636</v>
      </c>
      <c r="G42" s="17" t="s">
        <v>68</v>
      </c>
      <c r="H42" s="17" t="s">
        <v>637</v>
      </c>
      <c r="I42" s="20" t="n">
        <v>46308</v>
      </c>
    </row>
    <row r="43" customFormat="false" ht="15" hidden="false" customHeight="true" outlineLevel="0" collapsed="false">
      <c r="A43" s="17" t="s">
        <v>719</v>
      </c>
      <c r="B43" s="17" t="s">
        <v>720</v>
      </c>
      <c r="C43" s="17" t="s">
        <v>635</v>
      </c>
      <c r="D43" s="17" t="s">
        <v>635</v>
      </c>
      <c r="E43" s="17" t="s">
        <v>635</v>
      </c>
      <c r="F43" s="17" t="s">
        <v>636</v>
      </c>
      <c r="G43" s="17" t="s">
        <v>68</v>
      </c>
      <c r="H43" s="17" t="s">
        <v>640</v>
      </c>
      <c r="I43" s="20" t="n">
        <v>46313</v>
      </c>
    </row>
    <row r="44" customFormat="false" ht="15" hidden="false" customHeight="true" outlineLevel="0" collapsed="false">
      <c r="A44" s="17" t="s">
        <v>721</v>
      </c>
      <c r="B44" s="17" t="s">
        <v>722</v>
      </c>
      <c r="C44" s="17" t="s">
        <v>635</v>
      </c>
      <c r="D44" s="17" t="s">
        <v>635</v>
      </c>
      <c r="E44" s="17" t="s">
        <v>635</v>
      </c>
      <c r="F44" s="17" t="s">
        <v>636</v>
      </c>
      <c r="G44" s="17" t="s">
        <v>68</v>
      </c>
      <c r="H44" s="17" t="s">
        <v>640</v>
      </c>
      <c r="I44" s="20" t="n">
        <v>46314</v>
      </c>
    </row>
    <row r="45" customFormat="false" ht="15" hidden="false" customHeight="true" outlineLevel="0" collapsed="false">
      <c r="A45" s="17" t="s">
        <v>723</v>
      </c>
      <c r="B45" s="17" t="s">
        <v>724</v>
      </c>
      <c r="C45" s="17" t="s">
        <v>635</v>
      </c>
      <c r="D45" s="17" t="s">
        <v>635</v>
      </c>
      <c r="E45" s="17" t="s">
        <v>635</v>
      </c>
      <c r="F45" s="17" t="s">
        <v>636</v>
      </c>
      <c r="G45" s="17" t="s">
        <v>68</v>
      </c>
      <c r="H45" s="17" t="s">
        <v>637</v>
      </c>
      <c r="I45" s="20" t="n">
        <v>46315</v>
      </c>
    </row>
    <row r="46" customFormat="false" ht="15" hidden="false" customHeight="true" outlineLevel="0" collapsed="false">
      <c r="A46" s="17" t="s">
        <v>725</v>
      </c>
      <c r="B46" s="17" t="s">
        <v>726</v>
      </c>
      <c r="C46" s="17" t="s">
        <v>635</v>
      </c>
      <c r="D46" s="17" t="s">
        <v>635</v>
      </c>
      <c r="E46" s="17" t="s">
        <v>635</v>
      </c>
      <c r="F46" s="17" t="s">
        <v>636</v>
      </c>
      <c r="G46" s="17" t="s">
        <v>68</v>
      </c>
      <c r="H46" s="17" t="s">
        <v>640</v>
      </c>
      <c r="I46" s="20" t="n">
        <v>46305</v>
      </c>
    </row>
    <row r="47" customFormat="false" ht="15" hidden="false" customHeight="true" outlineLevel="0" collapsed="false">
      <c r="A47" s="17" t="s">
        <v>727</v>
      </c>
      <c r="B47" s="17" t="s">
        <v>728</v>
      </c>
      <c r="C47" s="17" t="s">
        <v>635</v>
      </c>
      <c r="D47" s="17" t="s">
        <v>635</v>
      </c>
      <c r="E47" s="17" t="s">
        <v>635</v>
      </c>
      <c r="F47" s="17" t="s">
        <v>636</v>
      </c>
      <c r="G47" s="17" t="s">
        <v>68</v>
      </c>
      <c r="H47" s="17" t="s">
        <v>640</v>
      </c>
      <c r="I47" s="20" t="n">
        <v>46307</v>
      </c>
    </row>
    <row r="48" customFormat="false" ht="15" hidden="false" customHeight="true" outlineLevel="0" collapsed="false">
      <c r="A48" s="17" t="s">
        <v>729</v>
      </c>
      <c r="B48" s="17" t="s">
        <v>730</v>
      </c>
      <c r="C48" s="17" t="s">
        <v>645</v>
      </c>
      <c r="D48" s="17" t="s">
        <v>635</v>
      </c>
      <c r="E48" s="17" t="s">
        <v>635</v>
      </c>
      <c r="F48" s="17" t="s">
        <v>636</v>
      </c>
      <c r="G48" s="17" t="s">
        <v>68</v>
      </c>
      <c r="H48" s="17" t="s">
        <v>637</v>
      </c>
      <c r="I48" s="20" t="n">
        <v>46313</v>
      </c>
    </row>
    <row r="49" customFormat="false" ht="15" hidden="false" customHeight="true" outlineLevel="0" collapsed="false">
      <c r="A49" s="17" t="s">
        <v>731</v>
      </c>
      <c r="B49" s="17" t="s">
        <v>732</v>
      </c>
      <c r="C49" s="17" t="s">
        <v>635</v>
      </c>
      <c r="D49" s="17" t="s">
        <v>635</v>
      </c>
      <c r="E49" s="17" t="s">
        <v>635</v>
      </c>
      <c r="F49" s="17" t="s">
        <v>636</v>
      </c>
      <c r="G49" s="17" t="s">
        <v>68</v>
      </c>
      <c r="H49" s="17" t="s">
        <v>640</v>
      </c>
      <c r="I49" s="20" t="n">
        <v>46310</v>
      </c>
    </row>
    <row r="50" customFormat="false" ht="15" hidden="false" customHeight="true" outlineLevel="0" collapsed="false">
      <c r="A50" s="17" t="s">
        <v>733</v>
      </c>
      <c r="B50" s="17" t="s">
        <v>734</v>
      </c>
      <c r="C50" s="17" t="s">
        <v>635</v>
      </c>
      <c r="D50" s="17" t="s">
        <v>635</v>
      </c>
      <c r="E50" s="17" t="s">
        <v>645</v>
      </c>
      <c r="F50" s="17" t="s">
        <v>636</v>
      </c>
      <c r="G50" s="17" t="s">
        <v>68</v>
      </c>
      <c r="H50" s="17" t="s">
        <v>640</v>
      </c>
      <c r="I50" s="20" t="n">
        <v>46308</v>
      </c>
    </row>
    <row r="51" customFormat="false" ht="15" hidden="false" customHeight="true" outlineLevel="0" collapsed="false">
      <c r="A51" s="17" t="s">
        <v>735</v>
      </c>
      <c r="B51" s="17" t="s">
        <v>736</v>
      </c>
      <c r="C51" s="17" t="s">
        <v>635</v>
      </c>
      <c r="D51" s="17" t="s">
        <v>635</v>
      </c>
      <c r="E51" s="17" t="s">
        <v>635</v>
      </c>
      <c r="F51" s="17" t="s">
        <v>636</v>
      </c>
      <c r="G51" s="17" t="s">
        <v>68</v>
      </c>
      <c r="H51" s="17" t="s">
        <v>637</v>
      </c>
      <c r="I51" s="20" t="n">
        <v>46304</v>
      </c>
    </row>
    <row r="52" customFormat="false" ht="15" hidden="false" customHeight="true" outlineLevel="0" collapsed="false">
      <c r="A52" s="17" t="s">
        <v>737</v>
      </c>
      <c r="B52" s="17" t="s">
        <v>738</v>
      </c>
      <c r="C52" s="17" t="s">
        <v>635</v>
      </c>
      <c r="D52" s="17" t="s">
        <v>635</v>
      </c>
      <c r="E52" s="17" t="s">
        <v>635</v>
      </c>
      <c r="F52" s="17" t="s">
        <v>636</v>
      </c>
      <c r="G52" s="17" t="s">
        <v>68</v>
      </c>
      <c r="H52" s="17" t="s">
        <v>640</v>
      </c>
      <c r="I52" s="20" t="n">
        <v>46314</v>
      </c>
    </row>
    <row r="53" customFormat="false" ht="15" hidden="false" customHeight="true" outlineLevel="0" collapsed="false">
      <c r="A53" s="17" t="s">
        <v>739</v>
      </c>
      <c r="B53" s="17" t="s">
        <v>740</v>
      </c>
      <c r="C53" s="17" t="s">
        <v>635</v>
      </c>
      <c r="D53" s="17" t="s">
        <v>635</v>
      </c>
      <c r="E53" s="17" t="s">
        <v>645</v>
      </c>
      <c r="F53" s="17" t="s">
        <v>636</v>
      </c>
      <c r="G53" s="17" t="s">
        <v>68</v>
      </c>
      <c r="H53" s="17" t="s">
        <v>640</v>
      </c>
      <c r="I53" s="20" t="n">
        <v>46307</v>
      </c>
    </row>
    <row r="54" customFormat="false" ht="15" hidden="false" customHeight="true" outlineLevel="0" collapsed="false">
      <c r="A54" s="17" t="s">
        <v>741</v>
      </c>
      <c r="B54" s="17" t="s">
        <v>742</v>
      </c>
      <c r="C54" s="17" t="s">
        <v>656</v>
      </c>
      <c r="D54" s="17" t="s">
        <v>656</v>
      </c>
      <c r="E54" s="17" t="s">
        <v>656</v>
      </c>
      <c r="F54" s="17" t="s">
        <v>656</v>
      </c>
      <c r="G54" s="17" t="s">
        <v>68</v>
      </c>
      <c r="H54" s="17" t="s">
        <v>637</v>
      </c>
      <c r="I54" s="20" t="n">
        <v>46308</v>
      </c>
    </row>
    <row r="55" customFormat="false" ht="15" hidden="false" customHeight="true" outlineLevel="0" collapsed="false">
      <c r="A55" s="17" t="s">
        <v>743</v>
      </c>
      <c r="B55" s="17" t="s">
        <v>744</v>
      </c>
      <c r="C55" s="17" t="s">
        <v>635</v>
      </c>
      <c r="D55" s="17" t="s">
        <v>635</v>
      </c>
      <c r="E55" s="17" t="s">
        <v>635</v>
      </c>
      <c r="F55" s="17" t="s">
        <v>636</v>
      </c>
      <c r="G55" s="17" t="s">
        <v>68</v>
      </c>
      <c r="H55" s="17" t="s">
        <v>640</v>
      </c>
      <c r="I55" s="20" t="n">
        <v>46304</v>
      </c>
    </row>
    <row r="56" customFormat="false" ht="15" hidden="false" customHeight="true" outlineLevel="0" collapsed="false">
      <c r="A56" s="17" t="s">
        <v>745</v>
      </c>
      <c r="B56" s="17" t="s">
        <v>746</v>
      </c>
      <c r="C56" s="17" t="s">
        <v>635</v>
      </c>
      <c r="D56" s="17" t="s">
        <v>635</v>
      </c>
      <c r="E56" s="17" t="s">
        <v>645</v>
      </c>
      <c r="F56" s="17" t="s">
        <v>636</v>
      </c>
      <c r="G56" s="17" t="s">
        <v>68</v>
      </c>
      <c r="H56" s="17" t="s">
        <v>640</v>
      </c>
      <c r="I56" s="20" t="n">
        <v>46309</v>
      </c>
    </row>
    <row r="57" customFormat="false" ht="15" hidden="false" customHeight="true" outlineLevel="0" collapsed="false">
      <c r="A57" s="17" t="s">
        <v>747</v>
      </c>
      <c r="B57" s="17" t="s">
        <v>748</v>
      </c>
      <c r="C57" s="17" t="s">
        <v>635</v>
      </c>
      <c r="D57" s="17" t="s">
        <v>635</v>
      </c>
      <c r="E57" s="17" t="s">
        <v>635</v>
      </c>
      <c r="F57" s="17" t="s">
        <v>636</v>
      </c>
      <c r="G57" s="17" t="s">
        <v>68</v>
      </c>
      <c r="H57" s="17" t="s">
        <v>637</v>
      </c>
      <c r="I57" s="20" t="n">
        <v>46313</v>
      </c>
    </row>
    <row r="58" customFormat="false" ht="15" hidden="false" customHeight="true" outlineLevel="0" collapsed="false">
      <c r="A58" s="17" t="s">
        <v>749</v>
      </c>
      <c r="B58" s="17" t="s">
        <v>750</v>
      </c>
      <c r="C58" s="17" t="s">
        <v>635</v>
      </c>
      <c r="D58" s="17" t="s">
        <v>645</v>
      </c>
      <c r="E58" s="17" t="s">
        <v>635</v>
      </c>
      <c r="F58" s="17" t="s">
        <v>636</v>
      </c>
      <c r="G58" s="17" t="s">
        <v>68</v>
      </c>
      <c r="H58" s="17" t="s">
        <v>640</v>
      </c>
      <c r="I58" s="20" t="n">
        <v>46308</v>
      </c>
    </row>
    <row r="59" customFormat="false" ht="15" hidden="false" customHeight="true" outlineLevel="0" collapsed="false">
      <c r="A59" s="17" t="s">
        <v>751</v>
      </c>
      <c r="B59" s="17" t="s">
        <v>752</v>
      </c>
      <c r="C59" s="17" t="s">
        <v>635</v>
      </c>
      <c r="D59" s="17" t="s">
        <v>635</v>
      </c>
      <c r="E59" s="17" t="s">
        <v>645</v>
      </c>
      <c r="F59" s="17" t="s">
        <v>636</v>
      </c>
      <c r="G59" s="17" t="s">
        <v>68</v>
      </c>
      <c r="H59" s="17" t="s">
        <v>640</v>
      </c>
      <c r="I59" s="20" t="n">
        <v>46308</v>
      </c>
    </row>
    <row r="60" customFormat="false" ht="15" hidden="false" customHeight="true" outlineLevel="0" collapsed="false">
      <c r="A60" s="17" t="s">
        <v>753</v>
      </c>
      <c r="B60" s="17" t="s">
        <v>754</v>
      </c>
      <c r="C60" s="17" t="s">
        <v>635</v>
      </c>
      <c r="D60" s="17" t="s">
        <v>635</v>
      </c>
      <c r="E60" s="17" t="s">
        <v>635</v>
      </c>
      <c r="F60" s="17" t="s">
        <v>636</v>
      </c>
      <c r="G60" s="17" t="s">
        <v>68</v>
      </c>
      <c r="H60" s="17" t="s">
        <v>637</v>
      </c>
      <c r="I60" s="20" t="n">
        <v>46304</v>
      </c>
    </row>
    <row r="61" customFormat="false" ht="15" hidden="false" customHeight="true" outlineLevel="0" collapsed="false">
      <c r="A61" s="17" t="s">
        <v>755</v>
      </c>
      <c r="B61" s="17" t="s">
        <v>756</v>
      </c>
      <c r="C61" s="17" t="s">
        <v>635</v>
      </c>
      <c r="D61" s="17" t="s">
        <v>635</v>
      </c>
      <c r="E61" s="17" t="s">
        <v>635</v>
      </c>
      <c r="F61" s="17" t="s">
        <v>636</v>
      </c>
      <c r="G61" s="17" t="s">
        <v>68</v>
      </c>
      <c r="H61" s="17" t="s">
        <v>640</v>
      </c>
      <c r="I61" s="20" t="n">
        <v>46307</v>
      </c>
    </row>
    <row r="62" customFormat="false" ht="15" hidden="false" customHeight="true" outlineLevel="0" collapsed="false">
      <c r="A62" s="17" t="s">
        <v>757</v>
      </c>
      <c r="B62" s="17" t="s">
        <v>758</v>
      </c>
      <c r="C62" s="17" t="s">
        <v>635</v>
      </c>
      <c r="D62" s="17" t="s">
        <v>635</v>
      </c>
      <c r="E62" s="17" t="s">
        <v>635</v>
      </c>
      <c r="F62" s="17" t="s">
        <v>636</v>
      </c>
      <c r="G62" s="17" t="s">
        <v>68</v>
      </c>
      <c r="H62" s="17" t="s">
        <v>640</v>
      </c>
      <c r="I62" s="20" t="n">
        <v>46311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12"/>
    <col collapsed="false" customWidth="true" hidden="false" outlineLevel="0" max="6" min="4" style="1" width="9"/>
    <col collapsed="false" customWidth="true" hidden="false" outlineLevel="0" max="7" min="7" style="1" width="10"/>
    <col collapsed="false" customWidth="true" hidden="false" outlineLevel="0" max="8" min="8" style="1" width="11"/>
    <col collapsed="false" customWidth="true" hidden="false" outlineLevel="0" max="10" min="9" style="1" width="9"/>
    <col collapsed="false" customWidth="true" hidden="false" outlineLevel="0" max="11" min="11" style="1" width="13"/>
    <col collapsed="false" customWidth="true" hidden="false" outlineLevel="0" max="12" min="12" style="1" width="7"/>
    <col collapsed="false" customWidth="true" hidden="false" outlineLevel="0" max="13" min="13" style="1" width="15"/>
    <col collapsed="false" customWidth="true" hidden="false" outlineLevel="0" max="14" min="14" style="1" width="9"/>
    <col collapsed="false" customWidth="true" hidden="false" outlineLevel="0" max="15" min="15" style="1" width="12"/>
    <col collapsed="false" customWidth="true" hidden="false" outlineLevel="0" max="16" min="16" style="1" width="38"/>
  </cols>
  <sheetData>
    <row r="1" customFormat="false" ht="15" hidden="false" customHeight="true" outlineLevel="0" collapsed="false">
      <c r="A1" s="10" t="s">
        <v>759</v>
      </c>
    </row>
    <row r="2" customFormat="false" ht="23.25" hidden="false" customHeight="true" outlineLevel="0" collapsed="false">
      <c r="A2" s="11" t="s">
        <v>760</v>
      </c>
      <c r="B2" s="11" t="s">
        <v>761</v>
      </c>
      <c r="C2" s="11" t="s">
        <v>40</v>
      </c>
      <c r="D2" s="11" t="s">
        <v>126</v>
      </c>
      <c r="E2" s="11" t="s">
        <v>130</v>
      </c>
      <c r="F2" s="11" t="s">
        <v>132</v>
      </c>
      <c r="G2" s="11" t="s">
        <v>136</v>
      </c>
      <c r="H2" s="11" t="s">
        <v>140</v>
      </c>
      <c r="I2" s="11" t="s">
        <v>762</v>
      </c>
      <c r="J2" s="11" t="s">
        <v>763</v>
      </c>
      <c r="K2" s="11" t="s">
        <v>764</v>
      </c>
      <c r="L2" s="11" t="s">
        <v>765</v>
      </c>
      <c r="M2" s="11" t="s">
        <v>180</v>
      </c>
      <c r="N2" s="11" t="s">
        <v>184</v>
      </c>
      <c r="O2" s="11" t="s">
        <v>766</v>
      </c>
      <c r="P2" s="11" t="s">
        <v>767</v>
      </c>
    </row>
    <row r="3" customFormat="false" ht="15" hidden="false" customHeight="true" outlineLevel="0" collapsed="false">
      <c r="A3" s="23" t="s">
        <v>34</v>
      </c>
      <c r="B3" s="19" t="str">
        <f aca="false">'2 Mock NUSA'!B2</f>
        <v>A-7100</v>
      </c>
      <c r="C3" s="19" t="str">
        <f aca="false">'2 Mock NUSA'!A2</f>
        <v>P-0001</v>
      </c>
      <c r="D3" s="19" t="str">
        <f aca="false">IF(ISNUMBER('2 Mock NUSA'!O2),'2 Mock NUSA'!O2,"")</f>
        <v/>
      </c>
      <c r="E3" s="19" t="str">
        <f aca="false">IF(ISNUMBER('2 Mock NUSA'!P2),'2 Mock NUSA'!P2,"")</f>
        <v/>
      </c>
      <c r="F3" s="19" t="str">
        <f aca="false">IF(ISNUMBER('2 Mock NUSA'!Q2),'2 Mock NUSA'!Q2,"")</f>
        <v/>
      </c>
      <c r="G3" s="19" t="str">
        <f aca="false">IF(ISNUMBER('2 Mock NUSA'!R2),'2 Mock NUSA'!R2,"")</f>
        <v/>
      </c>
      <c r="H3" s="19" t="n">
        <f aca="false">IF(ISNUMBER('2 Mock NUSA'!S2),'2 Mock NUSA'!S2,"")</f>
        <v>22.9</v>
      </c>
      <c r="I3" s="19" t="str">
        <f aca="false">IF(L3="Tidak","Invalid",IF(AND(ISNUMBER(D3),D3&lt;'Baca Dulu'!$B$13),"Positif","Negatif"))</f>
        <v>Negatif</v>
      </c>
      <c r="J3" s="19" t="str">
        <f aca="false">IF(L3="Tidak","Invalid",IF(AND(ISNUMBER(E3),E3&lt;'Baca Dulu'!$B$13),"Positif","Negatif"))</f>
        <v>Negatif</v>
      </c>
      <c r="K3" s="19" t="str">
        <f aca="false">IF(L3="Tidak","Invalid",IF(OR(AND(ISNUMBER(F3),F3&lt;'Baca Dulu'!$B$13),AND(ISNUMBER(G3),G3&lt;'Baca Dulu'!$B$13)),"Positif","Negatif"))</f>
        <v>Negatif</v>
      </c>
      <c r="L3" s="19" t="str">
        <f aca="false">IF(AND(ISNUMBER(H3),H3&lt;='Baca Dulu'!$B$14),"Ya","Tidak")</f>
        <v>Ya</v>
      </c>
      <c r="M3" s="19" t="str">
        <f aca="false">IF(L3="Tidak","Invalid",IF(OR(I3="Positif",J3="Positif"),"Positif 16/18",IF(K3="Positif","Positif lain","Negatif")))</f>
        <v>Negatif</v>
      </c>
      <c r="N3" s="24" t="str">
        <f aca="false">IF(AND(L3="Ya",COUNT(D3:G3)&gt;0),MIN(D3:G3)-H3,"")</f>
        <v/>
      </c>
      <c r="O3" s="25" t="n">
        <f aca="false">INT('2 Mock NUSA'!J2)</f>
        <v>46300</v>
      </c>
      <c r="P3" s="19" t="s">
        <v>768</v>
      </c>
    </row>
    <row r="4" customFormat="false" ht="15" hidden="false" customHeight="true" outlineLevel="0" collapsed="false">
      <c r="A4" s="23" t="s">
        <v>34</v>
      </c>
      <c r="B4" s="19" t="str">
        <f aca="false">'2 Mock NUSA'!B3</f>
        <v>A-7101</v>
      </c>
      <c r="C4" s="19" t="str">
        <f aca="false">'2 Mock NUSA'!A3</f>
        <v>P-0002</v>
      </c>
      <c r="D4" s="19" t="str">
        <f aca="false">IF(ISNUMBER('2 Mock NUSA'!O3),'2 Mock NUSA'!O3,"")</f>
        <v/>
      </c>
      <c r="E4" s="19" t="str">
        <f aca="false">IF(ISNUMBER('2 Mock NUSA'!P3),'2 Mock NUSA'!P3,"")</f>
        <v/>
      </c>
      <c r="F4" s="19" t="str">
        <f aca="false">IF(ISNUMBER('2 Mock NUSA'!Q3),'2 Mock NUSA'!Q3,"")</f>
        <v/>
      </c>
      <c r="G4" s="19" t="str">
        <f aca="false">IF(ISNUMBER('2 Mock NUSA'!R3),'2 Mock NUSA'!R3,"")</f>
        <v/>
      </c>
      <c r="H4" s="19" t="n">
        <f aca="false">IF(ISNUMBER('2 Mock NUSA'!S3),'2 Mock NUSA'!S3,"")</f>
        <v>28</v>
      </c>
      <c r="I4" s="19" t="str">
        <f aca="false">IF(L4="Tidak","Invalid",IF(AND(ISNUMBER(D4),D4&lt;'Baca Dulu'!$B$13),"Positif","Negatif"))</f>
        <v>Negatif</v>
      </c>
      <c r="J4" s="19" t="str">
        <f aca="false">IF(L4="Tidak","Invalid",IF(AND(ISNUMBER(E4),E4&lt;'Baca Dulu'!$B$13),"Positif","Negatif"))</f>
        <v>Negatif</v>
      </c>
      <c r="K4" s="19" t="str">
        <f aca="false">IF(L4="Tidak","Invalid",IF(OR(AND(ISNUMBER(F4),F4&lt;'Baca Dulu'!$B$13),AND(ISNUMBER(G4),G4&lt;'Baca Dulu'!$B$13)),"Positif","Negatif"))</f>
        <v>Negatif</v>
      </c>
      <c r="L4" s="19" t="str">
        <f aca="false">IF(AND(ISNUMBER(H4),H4&lt;='Baca Dulu'!$B$14),"Ya","Tidak")</f>
        <v>Ya</v>
      </c>
      <c r="M4" s="19" t="str">
        <f aca="false">IF(L4="Tidak","Invalid",IF(OR(I4="Positif",J4="Positif"),"Positif 16/18",IF(K4="Positif","Positif lain","Negatif")))</f>
        <v>Negatif</v>
      </c>
      <c r="N4" s="24" t="str">
        <f aca="false">IF(AND(L4="Ya",COUNT(D4:G4)&gt;0),MIN(D4:G4)-H4,"")</f>
        <v/>
      </c>
      <c r="O4" s="25" t="n">
        <f aca="false">INT('2 Mock NUSA'!J3)</f>
        <v>46303</v>
      </c>
      <c r="P4" s="19" t="s">
        <v>768</v>
      </c>
    </row>
    <row r="5" customFormat="false" ht="15" hidden="false" customHeight="true" outlineLevel="0" collapsed="false">
      <c r="A5" s="23" t="s">
        <v>34</v>
      </c>
      <c r="B5" s="19" t="str">
        <f aca="false">'2 Mock NUSA'!B4</f>
        <v>A-7102</v>
      </c>
      <c r="C5" s="19" t="str">
        <f aca="false">'2 Mock NUSA'!A4</f>
        <v>P-0003</v>
      </c>
      <c r="D5" s="19" t="str">
        <f aca="false">IF(ISNUMBER('2 Mock NUSA'!O4),'2 Mock NUSA'!O4,"")</f>
        <v/>
      </c>
      <c r="E5" s="19" t="str">
        <f aca="false">IF(ISNUMBER('2 Mock NUSA'!P4),'2 Mock NUSA'!P4,"")</f>
        <v/>
      </c>
      <c r="F5" s="19" t="str">
        <f aca="false">IF(ISNUMBER('2 Mock NUSA'!Q4),'2 Mock NUSA'!Q4,"")</f>
        <v/>
      </c>
      <c r="G5" s="19" t="str">
        <f aca="false">IF(ISNUMBER('2 Mock NUSA'!R4),'2 Mock NUSA'!R4,"")</f>
        <v/>
      </c>
      <c r="H5" s="19" t="n">
        <f aca="false">IF(ISNUMBER('2 Mock NUSA'!S4),'2 Mock NUSA'!S4,"")</f>
        <v>22.1</v>
      </c>
      <c r="I5" s="19" t="str">
        <f aca="false">IF(L5="Tidak","Invalid",IF(AND(ISNUMBER(D5),D5&lt;'Baca Dulu'!$B$13),"Positif","Negatif"))</f>
        <v>Negatif</v>
      </c>
      <c r="J5" s="19" t="str">
        <f aca="false">IF(L5="Tidak","Invalid",IF(AND(ISNUMBER(E5),E5&lt;'Baca Dulu'!$B$13),"Positif","Negatif"))</f>
        <v>Negatif</v>
      </c>
      <c r="K5" s="19" t="str">
        <f aca="false">IF(L5="Tidak","Invalid",IF(OR(AND(ISNUMBER(F5),F5&lt;'Baca Dulu'!$B$13),AND(ISNUMBER(G5),G5&lt;'Baca Dulu'!$B$13)),"Positif","Negatif"))</f>
        <v>Negatif</v>
      </c>
      <c r="L5" s="19" t="str">
        <f aca="false">IF(AND(ISNUMBER(H5),H5&lt;='Baca Dulu'!$B$14),"Ya","Tidak")</f>
        <v>Ya</v>
      </c>
      <c r="M5" s="19" t="str">
        <f aca="false">IF(L5="Tidak","Invalid",IF(OR(I5="Positif",J5="Positif"),"Positif 16/18",IF(K5="Positif","Positif lain","Negatif")))</f>
        <v>Negatif</v>
      </c>
      <c r="N5" s="24" t="str">
        <f aca="false">IF(AND(L5="Ya",COUNT(D5:G5)&gt;0),MIN(D5:G5)-H5,"")</f>
        <v/>
      </c>
      <c r="O5" s="25" t="n">
        <f aca="false">INT('2 Mock NUSA'!J4)</f>
        <v>46302</v>
      </c>
      <c r="P5" s="19" t="s">
        <v>768</v>
      </c>
    </row>
    <row r="6" customFormat="false" ht="15" hidden="false" customHeight="true" outlineLevel="0" collapsed="false">
      <c r="A6" s="23" t="s">
        <v>34</v>
      </c>
      <c r="B6" s="19" t="str">
        <f aca="false">'2 Mock NUSA'!B5</f>
        <v>A-7103</v>
      </c>
      <c r="C6" s="19" t="str">
        <f aca="false">'2 Mock NUSA'!A5</f>
        <v>P-0004</v>
      </c>
      <c r="D6" s="19" t="str">
        <f aca="false">IF(ISNUMBER('2 Mock NUSA'!O5),'2 Mock NUSA'!O5,"")</f>
        <v/>
      </c>
      <c r="E6" s="19" t="str">
        <f aca="false">IF(ISNUMBER('2 Mock NUSA'!P5),'2 Mock NUSA'!P5,"")</f>
        <v/>
      </c>
      <c r="F6" s="19" t="str">
        <f aca="false">IF(ISNUMBER('2 Mock NUSA'!Q5),'2 Mock NUSA'!Q5,"")</f>
        <v/>
      </c>
      <c r="G6" s="19" t="str">
        <f aca="false">IF(ISNUMBER('2 Mock NUSA'!R5),'2 Mock NUSA'!R5,"")</f>
        <v/>
      </c>
      <c r="H6" s="19" t="n">
        <f aca="false">IF(ISNUMBER('2 Mock NUSA'!S5),'2 Mock NUSA'!S5,"")</f>
        <v>25.9</v>
      </c>
      <c r="I6" s="19" t="str">
        <f aca="false">IF(L6="Tidak","Invalid",IF(AND(ISNUMBER(D6),D6&lt;'Baca Dulu'!$B$13),"Positif","Negatif"))</f>
        <v>Negatif</v>
      </c>
      <c r="J6" s="19" t="str">
        <f aca="false">IF(L6="Tidak","Invalid",IF(AND(ISNUMBER(E6),E6&lt;'Baca Dulu'!$B$13),"Positif","Negatif"))</f>
        <v>Negatif</v>
      </c>
      <c r="K6" s="19" t="str">
        <f aca="false">IF(L6="Tidak","Invalid",IF(OR(AND(ISNUMBER(F6),F6&lt;'Baca Dulu'!$B$13),AND(ISNUMBER(G6),G6&lt;'Baca Dulu'!$B$13)),"Positif","Negatif"))</f>
        <v>Negatif</v>
      </c>
      <c r="L6" s="19" t="str">
        <f aca="false">IF(AND(ISNUMBER(H6),H6&lt;='Baca Dulu'!$B$14),"Ya","Tidak")</f>
        <v>Ya</v>
      </c>
      <c r="M6" s="19" t="str">
        <f aca="false">IF(L6="Tidak","Invalid",IF(OR(I6="Positif",J6="Positif"),"Positif 16/18",IF(K6="Positif","Positif lain","Negatif")))</f>
        <v>Negatif</v>
      </c>
      <c r="N6" s="24" t="str">
        <f aca="false">IF(AND(L6="Ya",COUNT(D6:G6)&gt;0),MIN(D6:G6)-H6,"")</f>
        <v/>
      </c>
      <c r="O6" s="25" t="n">
        <f aca="false">INT('2 Mock NUSA'!J5)</f>
        <v>46309</v>
      </c>
      <c r="P6" s="19" t="s">
        <v>768</v>
      </c>
    </row>
    <row r="7" customFormat="false" ht="15" hidden="false" customHeight="true" outlineLevel="0" collapsed="false">
      <c r="A7" s="23" t="s">
        <v>34</v>
      </c>
      <c r="B7" s="19" t="str">
        <f aca="false">'2 Mock NUSA'!B6</f>
        <v>A-7104</v>
      </c>
      <c r="C7" s="19" t="str">
        <f aca="false">'2 Mock NUSA'!A6</f>
        <v>P-0005</v>
      </c>
      <c r="D7" s="19" t="str">
        <f aca="false">IF(ISNUMBER('2 Mock NUSA'!O6),'2 Mock NUSA'!O6,"")</f>
        <v/>
      </c>
      <c r="E7" s="19" t="str">
        <f aca="false">IF(ISNUMBER('2 Mock NUSA'!P6),'2 Mock NUSA'!P6,"")</f>
        <v/>
      </c>
      <c r="F7" s="19" t="str">
        <f aca="false">IF(ISNUMBER('2 Mock NUSA'!Q6),'2 Mock NUSA'!Q6,"")</f>
        <v/>
      </c>
      <c r="G7" s="19" t="str">
        <f aca="false">IF(ISNUMBER('2 Mock NUSA'!R6),'2 Mock NUSA'!R6,"")</f>
        <v/>
      </c>
      <c r="H7" s="19" t="n">
        <f aca="false">IF(ISNUMBER('2 Mock NUSA'!S6),'2 Mock NUSA'!S6,"")</f>
        <v>26.1</v>
      </c>
      <c r="I7" s="19" t="str">
        <f aca="false">IF(L7="Tidak","Invalid",IF(AND(ISNUMBER(D7),D7&lt;'Baca Dulu'!$B$13),"Positif","Negatif"))</f>
        <v>Negatif</v>
      </c>
      <c r="J7" s="19" t="str">
        <f aca="false">IF(L7="Tidak","Invalid",IF(AND(ISNUMBER(E7),E7&lt;'Baca Dulu'!$B$13),"Positif","Negatif"))</f>
        <v>Negatif</v>
      </c>
      <c r="K7" s="19" t="str">
        <f aca="false">IF(L7="Tidak","Invalid",IF(OR(AND(ISNUMBER(F7),F7&lt;'Baca Dulu'!$B$13),AND(ISNUMBER(G7),G7&lt;'Baca Dulu'!$B$13)),"Positif","Negatif"))</f>
        <v>Negatif</v>
      </c>
      <c r="L7" s="19" t="str">
        <f aca="false">IF(AND(ISNUMBER(H7),H7&lt;='Baca Dulu'!$B$14),"Ya","Tidak")</f>
        <v>Ya</v>
      </c>
      <c r="M7" s="19" t="str">
        <f aca="false">IF(L7="Tidak","Invalid",IF(OR(I7="Positif",J7="Positif"),"Positif 16/18",IF(K7="Positif","Positif lain","Negatif")))</f>
        <v>Negatif</v>
      </c>
      <c r="N7" s="24" t="str">
        <f aca="false">IF(AND(L7="Ya",COUNT(D7:G7)&gt;0),MIN(D7:G7)-H7,"")</f>
        <v/>
      </c>
      <c r="O7" s="25" t="n">
        <f aca="false">INT('2 Mock NUSA'!J6)</f>
        <v>46303</v>
      </c>
      <c r="P7" s="19" t="s">
        <v>768</v>
      </c>
    </row>
    <row r="8" customFormat="false" ht="15" hidden="false" customHeight="true" outlineLevel="0" collapsed="false">
      <c r="A8" s="23" t="s">
        <v>34</v>
      </c>
      <c r="B8" s="19" t="str">
        <f aca="false">'2 Mock NUSA'!B7</f>
        <v>A-7105</v>
      </c>
      <c r="C8" s="19" t="str">
        <f aca="false">'2 Mock NUSA'!A7</f>
        <v>P-0006</v>
      </c>
      <c r="D8" s="19" t="str">
        <f aca="false">IF(ISNUMBER('2 Mock NUSA'!O7),'2 Mock NUSA'!O7,"")</f>
        <v/>
      </c>
      <c r="E8" s="19" t="str">
        <f aca="false">IF(ISNUMBER('2 Mock NUSA'!P7),'2 Mock NUSA'!P7,"")</f>
        <v/>
      </c>
      <c r="F8" s="19" t="str">
        <f aca="false">IF(ISNUMBER('2 Mock NUSA'!Q7),'2 Mock NUSA'!Q7,"")</f>
        <v/>
      </c>
      <c r="G8" s="19" t="str">
        <f aca="false">IF(ISNUMBER('2 Mock NUSA'!R7),'2 Mock NUSA'!R7,"")</f>
        <v/>
      </c>
      <c r="H8" s="19" t="n">
        <f aca="false">IF(ISNUMBER('2 Mock NUSA'!S7),'2 Mock NUSA'!S7,"")</f>
        <v>23</v>
      </c>
      <c r="I8" s="19" t="str">
        <f aca="false">IF(L8="Tidak","Invalid",IF(AND(ISNUMBER(D8),D8&lt;'Baca Dulu'!$B$13),"Positif","Negatif"))</f>
        <v>Negatif</v>
      </c>
      <c r="J8" s="19" t="str">
        <f aca="false">IF(L8="Tidak","Invalid",IF(AND(ISNUMBER(E8),E8&lt;'Baca Dulu'!$B$13),"Positif","Negatif"))</f>
        <v>Negatif</v>
      </c>
      <c r="K8" s="19" t="str">
        <f aca="false">IF(L8="Tidak","Invalid",IF(OR(AND(ISNUMBER(F8),F8&lt;'Baca Dulu'!$B$13),AND(ISNUMBER(G8),G8&lt;'Baca Dulu'!$B$13)),"Positif","Negatif"))</f>
        <v>Negatif</v>
      </c>
      <c r="L8" s="19" t="str">
        <f aca="false">IF(AND(ISNUMBER(H8),H8&lt;='Baca Dulu'!$B$14),"Ya","Tidak")</f>
        <v>Ya</v>
      </c>
      <c r="M8" s="19" t="str">
        <f aca="false">IF(L8="Tidak","Invalid",IF(OR(I8="Positif",J8="Positif"),"Positif 16/18",IF(K8="Positif","Positif lain","Negatif")))</f>
        <v>Negatif</v>
      </c>
      <c r="N8" s="24" t="str">
        <f aca="false">IF(AND(L8="Ya",COUNT(D8:G8)&gt;0),MIN(D8:G8)-H8,"")</f>
        <v/>
      </c>
      <c r="O8" s="25" t="n">
        <f aca="false">INT('2 Mock NUSA'!J7)</f>
        <v>46303</v>
      </c>
      <c r="P8" s="19" t="s">
        <v>768</v>
      </c>
    </row>
    <row r="9" customFormat="false" ht="15" hidden="false" customHeight="true" outlineLevel="0" collapsed="false">
      <c r="A9" s="23" t="s">
        <v>34</v>
      </c>
      <c r="B9" s="19" t="str">
        <f aca="false">'2 Mock NUSA'!B8</f>
        <v>A-7106</v>
      </c>
      <c r="C9" s="19" t="str">
        <f aca="false">'2 Mock NUSA'!A8</f>
        <v>P-0007</v>
      </c>
      <c r="D9" s="19" t="str">
        <f aca="false">IF(ISNUMBER('2 Mock NUSA'!O8),'2 Mock NUSA'!O8,"")</f>
        <v/>
      </c>
      <c r="E9" s="19" t="str">
        <f aca="false">IF(ISNUMBER('2 Mock NUSA'!P8),'2 Mock NUSA'!P8,"")</f>
        <v/>
      </c>
      <c r="F9" s="19" t="str">
        <f aca="false">IF(ISNUMBER('2 Mock NUSA'!Q8),'2 Mock NUSA'!Q8,"")</f>
        <v/>
      </c>
      <c r="G9" s="19" t="str">
        <f aca="false">IF(ISNUMBER('2 Mock NUSA'!R8),'2 Mock NUSA'!R8,"")</f>
        <v/>
      </c>
      <c r="H9" s="19" t="n">
        <f aca="false">IF(ISNUMBER('2 Mock NUSA'!S8),'2 Mock NUSA'!S8,"")</f>
        <v>26.1</v>
      </c>
      <c r="I9" s="19" t="str">
        <f aca="false">IF(L9="Tidak","Invalid",IF(AND(ISNUMBER(D9),D9&lt;'Baca Dulu'!$B$13),"Positif","Negatif"))</f>
        <v>Negatif</v>
      </c>
      <c r="J9" s="19" t="str">
        <f aca="false">IF(L9="Tidak","Invalid",IF(AND(ISNUMBER(E9),E9&lt;'Baca Dulu'!$B$13),"Positif","Negatif"))</f>
        <v>Negatif</v>
      </c>
      <c r="K9" s="19" t="str">
        <f aca="false">IF(L9="Tidak","Invalid",IF(OR(AND(ISNUMBER(F9),F9&lt;'Baca Dulu'!$B$13),AND(ISNUMBER(G9),G9&lt;'Baca Dulu'!$B$13)),"Positif","Negatif"))</f>
        <v>Negatif</v>
      </c>
      <c r="L9" s="19" t="str">
        <f aca="false">IF(AND(ISNUMBER(H9),H9&lt;='Baca Dulu'!$B$14),"Ya","Tidak")</f>
        <v>Ya</v>
      </c>
      <c r="M9" s="19" t="str">
        <f aca="false">IF(L9="Tidak","Invalid",IF(OR(I9="Positif",J9="Positif"),"Positif 16/18",IF(K9="Positif","Positif lain","Negatif")))</f>
        <v>Negatif</v>
      </c>
      <c r="N9" s="24" t="str">
        <f aca="false">IF(AND(L9="Ya",COUNT(D9:G9)&gt;0),MIN(D9:G9)-H9,"")</f>
        <v/>
      </c>
      <c r="O9" s="25" t="n">
        <f aca="false">INT('2 Mock NUSA'!J8)</f>
        <v>46306</v>
      </c>
      <c r="P9" s="19" t="s">
        <v>768</v>
      </c>
    </row>
    <row r="10" customFormat="false" ht="15" hidden="false" customHeight="true" outlineLevel="0" collapsed="false">
      <c r="A10" s="23" t="s">
        <v>34</v>
      </c>
      <c r="B10" s="19" t="str">
        <f aca="false">'2 Mock NUSA'!B9</f>
        <v>A-7107</v>
      </c>
      <c r="C10" s="19" t="str">
        <f aca="false">'2 Mock NUSA'!A9</f>
        <v>P-0008</v>
      </c>
      <c r="D10" s="19" t="str">
        <f aca="false">IF(ISNUMBER('2 Mock NUSA'!O9),'2 Mock NUSA'!O9,"")</f>
        <v/>
      </c>
      <c r="E10" s="19" t="str">
        <f aca="false">IF(ISNUMBER('2 Mock NUSA'!P9),'2 Mock NUSA'!P9,"")</f>
        <v/>
      </c>
      <c r="F10" s="19" t="n">
        <f aca="false">IF(ISNUMBER('2 Mock NUSA'!Q9),'2 Mock NUSA'!Q9,"")</f>
        <v>35.8</v>
      </c>
      <c r="G10" s="19" t="str">
        <f aca="false">IF(ISNUMBER('2 Mock NUSA'!R9),'2 Mock NUSA'!R9,"")</f>
        <v/>
      </c>
      <c r="H10" s="19" t="n">
        <f aca="false">IF(ISNUMBER('2 Mock NUSA'!S9),'2 Mock NUSA'!S9,"")</f>
        <v>26.3</v>
      </c>
      <c r="I10" s="19" t="str">
        <f aca="false">IF(L10="Tidak","Invalid",IF(AND(ISNUMBER(D10),D10&lt;'Baca Dulu'!$B$13),"Positif","Negatif"))</f>
        <v>Negatif</v>
      </c>
      <c r="J10" s="19" t="str">
        <f aca="false">IF(L10="Tidak","Invalid",IF(AND(ISNUMBER(E10),E10&lt;'Baca Dulu'!$B$13),"Positif","Negatif"))</f>
        <v>Negatif</v>
      </c>
      <c r="K10" s="19" t="str">
        <f aca="false">IF(L10="Tidak","Invalid",IF(OR(AND(ISNUMBER(F10),F10&lt;'Baca Dulu'!$B$13),AND(ISNUMBER(G10),G10&lt;'Baca Dulu'!$B$13)),"Positif","Negatif"))</f>
        <v>Positif</v>
      </c>
      <c r="L10" s="19" t="str">
        <f aca="false">IF(AND(ISNUMBER(H10),H10&lt;='Baca Dulu'!$B$14),"Ya","Tidak")</f>
        <v>Ya</v>
      </c>
      <c r="M10" s="19" t="str">
        <f aca="false">IF(L10="Tidak","Invalid",IF(OR(I10="Positif",J10="Positif"),"Positif 16/18",IF(K10="Positif","Positif lain","Negatif")))</f>
        <v>Positif lain</v>
      </c>
      <c r="N10" s="24" t="n">
        <f aca="false">IF(AND(L10="Ya",COUNT(D10:G10)&gt;0),MIN(D10:G10)-H10,"")</f>
        <v>9.5</v>
      </c>
      <c r="O10" s="25" t="n">
        <f aca="false">INT('2 Mock NUSA'!J9)</f>
        <v>46307</v>
      </c>
      <c r="P10" s="19" t="s">
        <v>768</v>
      </c>
    </row>
    <row r="11" customFormat="false" ht="15" hidden="false" customHeight="true" outlineLevel="0" collapsed="false">
      <c r="A11" s="23" t="s">
        <v>34</v>
      </c>
      <c r="B11" s="19" t="str">
        <f aca="false">'2 Mock NUSA'!B10</f>
        <v>A-7108</v>
      </c>
      <c r="C11" s="19" t="str">
        <f aca="false">'2 Mock NUSA'!A10</f>
        <v>P-0009</v>
      </c>
      <c r="D11" s="19" t="str">
        <f aca="false">IF(ISNUMBER('2 Mock NUSA'!O10),'2 Mock NUSA'!O10,"")</f>
        <v/>
      </c>
      <c r="E11" s="19" t="str">
        <f aca="false">IF(ISNUMBER('2 Mock NUSA'!P10),'2 Mock NUSA'!P10,"")</f>
        <v/>
      </c>
      <c r="F11" s="19" t="str">
        <f aca="false">IF(ISNUMBER('2 Mock NUSA'!Q10),'2 Mock NUSA'!Q10,"")</f>
        <v/>
      </c>
      <c r="G11" s="19" t="str">
        <f aca="false">IF(ISNUMBER('2 Mock NUSA'!R10),'2 Mock NUSA'!R10,"")</f>
        <v/>
      </c>
      <c r="H11" s="19" t="n">
        <f aca="false">IF(ISNUMBER('2 Mock NUSA'!S10),'2 Mock NUSA'!S10,"")</f>
        <v>29.4</v>
      </c>
      <c r="I11" s="19" t="str">
        <f aca="false">IF(L11="Tidak","Invalid",IF(AND(ISNUMBER(D11),D11&lt;'Baca Dulu'!$B$13),"Positif","Negatif"))</f>
        <v>Negatif</v>
      </c>
      <c r="J11" s="19" t="str">
        <f aca="false">IF(L11="Tidak","Invalid",IF(AND(ISNUMBER(E11),E11&lt;'Baca Dulu'!$B$13),"Positif","Negatif"))</f>
        <v>Negatif</v>
      </c>
      <c r="K11" s="19" t="str">
        <f aca="false">IF(L11="Tidak","Invalid",IF(OR(AND(ISNUMBER(F11),F11&lt;'Baca Dulu'!$B$13),AND(ISNUMBER(G11),G11&lt;'Baca Dulu'!$B$13)),"Positif","Negatif"))</f>
        <v>Negatif</v>
      </c>
      <c r="L11" s="19" t="str">
        <f aca="false">IF(AND(ISNUMBER(H11),H11&lt;='Baca Dulu'!$B$14),"Ya","Tidak")</f>
        <v>Ya</v>
      </c>
      <c r="M11" s="19" t="str">
        <f aca="false">IF(L11="Tidak","Invalid",IF(OR(I11="Positif",J11="Positif"),"Positif 16/18",IF(K11="Positif","Positif lain","Negatif")))</f>
        <v>Negatif</v>
      </c>
      <c r="N11" s="24" t="str">
        <f aca="false">IF(AND(L11="Ya",COUNT(D11:G11)&gt;0),MIN(D11:G11)-H11,"")</f>
        <v/>
      </c>
      <c r="O11" s="25" t="n">
        <f aca="false">INT('2 Mock NUSA'!J10)</f>
        <v>46306</v>
      </c>
      <c r="P11" s="19" t="s">
        <v>768</v>
      </c>
    </row>
    <row r="12" customFormat="false" ht="15" hidden="false" customHeight="true" outlineLevel="0" collapsed="false">
      <c r="A12" s="23" t="s">
        <v>34</v>
      </c>
      <c r="B12" s="19" t="str">
        <f aca="false">'2 Mock NUSA'!B11</f>
        <v>A-7109</v>
      </c>
      <c r="C12" s="19" t="str">
        <f aca="false">'2 Mock NUSA'!A11</f>
        <v>P-0010</v>
      </c>
      <c r="D12" s="19" t="str">
        <f aca="false">IF(ISNUMBER('2 Mock NUSA'!O11),'2 Mock NUSA'!O11,"")</f>
        <v/>
      </c>
      <c r="E12" s="19" t="str">
        <f aca="false">IF(ISNUMBER('2 Mock NUSA'!P11),'2 Mock NUSA'!P11,"")</f>
        <v/>
      </c>
      <c r="F12" s="19" t="str">
        <f aca="false">IF(ISNUMBER('2 Mock NUSA'!Q11),'2 Mock NUSA'!Q11,"")</f>
        <v/>
      </c>
      <c r="G12" s="19" t="str">
        <f aca="false">IF(ISNUMBER('2 Mock NUSA'!R11),'2 Mock NUSA'!R11,"")</f>
        <v/>
      </c>
      <c r="H12" s="19" t="n">
        <f aca="false">IF(ISNUMBER('2 Mock NUSA'!S11),'2 Mock NUSA'!S11,"")</f>
        <v>29.6</v>
      </c>
      <c r="I12" s="19" t="str">
        <f aca="false">IF(L12="Tidak","Invalid",IF(AND(ISNUMBER(D12),D12&lt;'Baca Dulu'!$B$13),"Positif","Negatif"))</f>
        <v>Negatif</v>
      </c>
      <c r="J12" s="19" t="str">
        <f aca="false">IF(L12="Tidak","Invalid",IF(AND(ISNUMBER(E12),E12&lt;'Baca Dulu'!$B$13),"Positif","Negatif"))</f>
        <v>Negatif</v>
      </c>
      <c r="K12" s="19" t="str">
        <f aca="false">IF(L12="Tidak","Invalid",IF(OR(AND(ISNUMBER(F12),F12&lt;'Baca Dulu'!$B$13),AND(ISNUMBER(G12),G12&lt;'Baca Dulu'!$B$13)),"Positif","Negatif"))</f>
        <v>Negatif</v>
      </c>
      <c r="L12" s="19" t="str">
        <f aca="false">IF(AND(ISNUMBER(H12),H12&lt;='Baca Dulu'!$B$14),"Ya","Tidak")</f>
        <v>Ya</v>
      </c>
      <c r="M12" s="19" t="str">
        <f aca="false">IF(L12="Tidak","Invalid",IF(OR(I12="Positif",J12="Positif"),"Positif 16/18",IF(K12="Positif","Positif lain","Negatif")))</f>
        <v>Negatif</v>
      </c>
      <c r="N12" s="24" t="str">
        <f aca="false">IF(AND(L12="Ya",COUNT(D12:G12)&gt;0),MIN(D12:G12)-H12,"")</f>
        <v/>
      </c>
      <c r="O12" s="25" t="n">
        <f aca="false">INT('2 Mock NUSA'!J11)</f>
        <v>46307</v>
      </c>
      <c r="P12" s="19" t="s">
        <v>768</v>
      </c>
    </row>
    <row r="13" customFormat="false" ht="15" hidden="false" customHeight="true" outlineLevel="0" collapsed="false">
      <c r="A13" s="23" t="s">
        <v>34</v>
      </c>
      <c r="B13" s="19" t="str">
        <f aca="false">'2 Mock NUSA'!B12</f>
        <v>A-7110</v>
      </c>
      <c r="C13" s="19" t="str">
        <f aca="false">'2 Mock NUSA'!A12</f>
        <v>P-0011</v>
      </c>
      <c r="D13" s="19" t="str">
        <f aca="false">IF(ISNUMBER('2 Mock NUSA'!O12),'2 Mock NUSA'!O12,"")</f>
        <v/>
      </c>
      <c r="E13" s="19" t="str">
        <f aca="false">IF(ISNUMBER('2 Mock NUSA'!P12),'2 Mock NUSA'!P12,"")</f>
        <v/>
      </c>
      <c r="F13" s="19" t="n">
        <f aca="false">IF(ISNUMBER('2 Mock NUSA'!Q12),'2 Mock NUSA'!Q12,"")</f>
        <v>27.2</v>
      </c>
      <c r="G13" s="19" t="str">
        <f aca="false">IF(ISNUMBER('2 Mock NUSA'!R12),'2 Mock NUSA'!R12,"")</f>
        <v/>
      </c>
      <c r="H13" s="19" t="n">
        <f aca="false">IF(ISNUMBER('2 Mock NUSA'!S12),'2 Mock NUSA'!S12,"")</f>
        <v>24.1</v>
      </c>
      <c r="I13" s="19" t="str">
        <f aca="false">IF(L13="Tidak","Invalid",IF(AND(ISNUMBER(D13),D13&lt;'Baca Dulu'!$B$13),"Positif","Negatif"))</f>
        <v>Negatif</v>
      </c>
      <c r="J13" s="19" t="str">
        <f aca="false">IF(L13="Tidak","Invalid",IF(AND(ISNUMBER(E13),E13&lt;'Baca Dulu'!$B$13),"Positif","Negatif"))</f>
        <v>Negatif</v>
      </c>
      <c r="K13" s="19" t="str">
        <f aca="false">IF(L13="Tidak","Invalid",IF(OR(AND(ISNUMBER(F13),F13&lt;'Baca Dulu'!$B$13),AND(ISNUMBER(G13),G13&lt;'Baca Dulu'!$B$13)),"Positif","Negatif"))</f>
        <v>Positif</v>
      </c>
      <c r="L13" s="19" t="str">
        <f aca="false">IF(AND(ISNUMBER(H13),H13&lt;='Baca Dulu'!$B$14),"Ya","Tidak")</f>
        <v>Ya</v>
      </c>
      <c r="M13" s="19" t="str">
        <f aca="false">IF(L13="Tidak","Invalid",IF(OR(I13="Positif",J13="Positif"),"Positif 16/18",IF(K13="Positif","Positif lain","Negatif")))</f>
        <v>Positif lain</v>
      </c>
      <c r="N13" s="24" t="n">
        <f aca="false">IF(AND(L13="Ya",COUNT(D13:G13)&gt;0),MIN(D13:G13)-H13,"")</f>
        <v>3.1</v>
      </c>
      <c r="O13" s="25" t="n">
        <f aca="false">INT('2 Mock NUSA'!J12)</f>
        <v>46301</v>
      </c>
      <c r="P13" s="19" t="s">
        <v>768</v>
      </c>
    </row>
    <row r="14" customFormat="false" ht="15" hidden="false" customHeight="true" outlineLevel="0" collapsed="false">
      <c r="A14" s="23" t="s">
        <v>34</v>
      </c>
      <c r="B14" s="19" t="str">
        <f aca="false">'2 Mock NUSA'!B13</f>
        <v>A-7111</v>
      </c>
      <c r="C14" s="19" t="str">
        <f aca="false">'2 Mock NUSA'!A13</f>
        <v>P-0012</v>
      </c>
      <c r="D14" s="19" t="str">
        <f aca="false">IF(ISNUMBER('2 Mock NUSA'!O13),'2 Mock NUSA'!O13,"")</f>
        <v/>
      </c>
      <c r="E14" s="19" t="str">
        <f aca="false">IF(ISNUMBER('2 Mock NUSA'!P13),'2 Mock NUSA'!P13,"")</f>
        <v/>
      </c>
      <c r="F14" s="19" t="str">
        <f aca="false">IF(ISNUMBER('2 Mock NUSA'!Q13),'2 Mock NUSA'!Q13,"")</f>
        <v/>
      </c>
      <c r="G14" s="19" t="str">
        <f aca="false">IF(ISNUMBER('2 Mock NUSA'!R13),'2 Mock NUSA'!R13,"")</f>
        <v/>
      </c>
      <c r="H14" s="19" t="n">
        <f aca="false">IF(ISNUMBER('2 Mock NUSA'!S13),'2 Mock NUSA'!S13,"")</f>
        <v>23</v>
      </c>
      <c r="I14" s="19" t="str">
        <f aca="false">IF(L14="Tidak","Invalid",IF(AND(ISNUMBER(D14),D14&lt;'Baca Dulu'!$B$13),"Positif","Negatif"))</f>
        <v>Negatif</v>
      </c>
      <c r="J14" s="19" t="str">
        <f aca="false">IF(L14="Tidak","Invalid",IF(AND(ISNUMBER(E14),E14&lt;'Baca Dulu'!$B$13),"Positif","Negatif"))</f>
        <v>Negatif</v>
      </c>
      <c r="K14" s="19" t="str">
        <f aca="false">IF(L14="Tidak","Invalid",IF(OR(AND(ISNUMBER(F14),F14&lt;'Baca Dulu'!$B$13),AND(ISNUMBER(G14),G14&lt;'Baca Dulu'!$B$13)),"Positif","Negatif"))</f>
        <v>Negatif</v>
      </c>
      <c r="L14" s="19" t="str">
        <f aca="false">IF(AND(ISNUMBER(H14),H14&lt;='Baca Dulu'!$B$14),"Ya","Tidak")</f>
        <v>Ya</v>
      </c>
      <c r="M14" s="19" t="str">
        <f aca="false">IF(L14="Tidak","Invalid",IF(OR(I14="Positif",J14="Positif"),"Positif 16/18",IF(K14="Positif","Positif lain","Negatif")))</f>
        <v>Negatif</v>
      </c>
      <c r="N14" s="24" t="str">
        <f aca="false">IF(AND(L14="Ya",COUNT(D14:G14)&gt;0),MIN(D14:G14)-H14,"")</f>
        <v/>
      </c>
      <c r="O14" s="25" t="n">
        <f aca="false">INT('2 Mock NUSA'!J13)</f>
        <v>46305</v>
      </c>
      <c r="P14" s="19" t="s">
        <v>768</v>
      </c>
    </row>
    <row r="15" customFormat="false" ht="15" hidden="false" customHeight="true" outlineLevel="0" collapsed="false">
      <c r="A15" s="23" t="s">
        <v>34</v>
      </c>
      <c r="B15" s="19" t="str">
        <f aca="false">'2 Mock NUSA'!B14</f>
        <v>A-7112</v>
      </c>
      <c r="C15" s="19" t="str">
        <f aca="false">'2 Mock NUSA'!A14</f>
        <v>P-0013</v>
      </c>
      <c r="D15" s="19" t="str">
        <f aca="false">IF(ISNUMBER('2 Mock NUSA'!O14),'2 Mock NUSA'!O14,"")</f>
        <v/>
      </c>
      <c r="E15" s="19" t="str">
        <f aca="false">IF(ISNUMBER('2 Mock NUSA'!P14),'2 Mock NUSA'!P14,"")</f>
        <v/>
      </c>
      <c r="F15" s="19" t="str">
        <f aca="false">IF(ISNUMBER('2 Mock NUSA'!Q14),'2 Mock NUSA'!Q14,"")</f>
        <v/>
      </c>
      <c r="G15" s="19" t="str">
        <f aca="false">IF(ISNUMBER('2 Mock NUSA'!R14),'2 Mock NUSA'!R14,"")</f>
        <v/>
      </c>
      <c r="H15" s="19" t="n">
        <f aca="false">IF(ISNUMBER('2 Mock NUSA'!S14),'2 Mock NUSA'!S14,"")</f>
        <v>28</v>
      </c>
      <c r="I15" s="19" t="str">
        <f aca="false">IF(L15="Tidak","Invalid",IF(AND(ISNUMBER(D15),D15&lt;'Baca Dulu'!$B$13),"Positif","Negatif"))</f>
        <v>Negatif</v>
      </c>
      <c r="J15" s="19" t="str">
        <f aca="false">IF(L15="Tidak","Invalid",IF(AND(ISNUMBER(E15),E15&lt;'Baca Dulu'!$B$13),"Positif","Negatif"))</f>
        <v>Negatif</v>
      </c>
      <c r="K15" s="19" t="str">
        <f aca="false">IF(L15="Tidak","Invalid",IF(OR(AND(ISNUMBER(F15),F15&lt;'Baca Dulu'!$B$13),AND(ISNUMBER(G15),G15&lt;'Baca Dulu'!$B$13)),"Positif","Negatif"))</f>
        <v>Negatif</v>
      </c>
      <c r="L15" s="19" t="str">
        <f aca="false">IF(AND(ISNUMBER(H15),H15&lt;='Baca Dulu'!$B$14),"Ya","Tidak")</f>
        <v>Ya</v>
      </c>
      <c r="M15" s="19" t="str">
        <f aca="false">IF(L15="Tidak","Invalid",IF(OR(I15="Positif",J15="Positif"),"Positif 16/18",IF(K15="Positif","Positif lain","Negatif")))</f>
        <v>Negatif</v>
      </c>
      <c r="N15" s="24" t="str">
        <f aca="false">IF(AND(L15="Ya",COUNT(D15:G15)&gt;0),MIN(D15:G15)-H15,"")</f>
        <v/>
      </c>
      <c r="O15" s="25" t="n">
        <f aca="false">INT('2 Mock NUSA'!J14)</f>
        <v>46309</v>
      </c>
      <c r="P15" s="19" t="s">
        <v>768</v>
      </c>
    </row>
    <row r="16" customFormat="false" ht="15" hidden="false" customHeight="true" outlineLevel="0" collapsed="false">
      <c r="A16" s="23" t="s">
        <v>34</v>
      </c>
      <c r="B16" s="19" t="str">
        <f aca="false">'2 Mock NUSA'!B15</f>
        <v>A-7113</v>
      </c>
      <c r="C16" s="19" t="str">
        <f aca="false">'2 Mock NUSA'!A15</f>
        <v>P-0014</v>
      </c>
      <c r="D16" s="19" t="str">
        <f aca="false">IF(ISNUMBER('2 Mock NUSA'!O15),'2 Mock NUSA'!O15,"")</f>
        <v/>
      </c>
      <c r="E16" s="19" t="str">
        <f aca="false">IF(ISNUMBER('2 Mock NUSA'!P15),'2 Mock NUSA'!P15,"")</f>
        <v/>
      </c>
      <c r="F16" s="19" t="n">
        <f aca="false">IF(ISNUMBER('2 Mock NUSA'!Q15),'2 Mock NUSA'!Q15,"")</f>
        <v>25.7</v>
      </c>
      <c r="G16" s="19" t="str">
        <f aca="false">IF(ISNUMBER('2 Mock NUSA'!R15),'2 Mock NUSA'!R15,"")</f>
        <v/>
      </c>
      <c r="H16" s="19" t="n">
        <f aca="false">IF(ISNUMBER('2 Mock NUSA'!S15),'2 Mock NUSA'!S15,"")</f>
        <v>24.2</v>
      </c>
      <c r="I16" s="19" t="str">
        <f aca="false">IF(L16="Tidak","Invalid",IF(AND(ISNUMBER(D16),D16&lt;'Baca Dulu'!$B$13),"Positif","Negatif"))</f>
        <v>Negatif</v>
      </c>
      <c r="J16" s="19" t="str">
        <f aca="false">IF(L16="Tidak","Invalid",IF(AND(ISNUMBER(E16),E16&lt;'Baca Dulu'!$B$13),"Positif","Negatif"))</f>
        <v>Negatif</v>
      </c>
      <c r="K16" s="19" t="str">
        <f aca="false">IF(L16="Tidak","Invalid",IF(OR(AND(ISNUMBER(F16),F16&lt;'Baca Dulu'!$B$13),AND(ISNUMBER(G16),G16&lt;'Baca Dulu'!$B$13)),"Positif","Negatif"))</f>
        <v>Positif</v>
      </c>
      <c r="L16" s="19" t="str">
        <f aca="false">IF(AND(ISNUMBER(H16),H16&lt;='Baca Dulu'!$B$14),"Ya","Tidak")</f>
        <v>Ya</v>
      </c>
      <c r="M16" s="19" t="str">
        <f aca="false">IF(L16="Tidak","Invalid",IF(OR(I16="Positif",J16="Positif"),"Positif 16/18",IF(K16="Positif","Positif lain","Negatif")))</f>
        <v>Positif lain</v>
      </c>
      <c r="N16" s="24" t="n">
        <f aca="false">IF(AND(L16="Ya",COUNT(D16:G16)&gt;0),MIN(D16:G16)-H16,"")</f>
        <v>1.5</v>
      </c>
      <c r="O16" s="25" t="n">
        <f aca="false">INT('2 Mock NUSA'!J15)</f>
        <v>46309</v>
      </c>
      <c r="P16" s="19" t="s">
        <v>768</v>
      </c>
    </row>
    <row r="17" customFormat="false" ht="15" hidden="false" customHeight="true" outlineLevel="0" collapsed="false">
      <c r="A17" s="23" t="s">
        <v>34</v>
      </c>
      <c r="B17" s="19" t="str">
        <f aca="false">'2 Mock NUSA'!B16</f>
        <v>A-7114</v>
      </c>
      <c r="C17" s="19" t="str">
        <f aca="false">'2 Mock NUSA'!A16</f>
        <v>P-0015</v>
      </c>
      <c r="D17" s="19" t="str">
        <f aca="false">IF(ISNUMBER('2 Mock NUSA'!O16),'2 Mock NUSA'!O16,"")</f>
        <v/>
      </c>
      <c r="E17" s="19" t="str">
        <f aca="false">IF(ISNUMBER('2 Mock NUSA'!P16),'2 Mock NUSA'!P16,"")</f>
        <v/>
      </c>
      <c r="F17" s="19" t="str">
        <f aca="false">IF(ISNUMBER('2 Mock NUSA'!Q16),'2 Mock NUSA'!Q16,"")</f>
        <v/>
      </c>
      <c r="G17" s="19" t="str">
        <f aca="false">IF(ISNUMBER('2 Mock NUSA'!R16),'2 Mock NUSA'!R16,"")</f>
        <v/>
      </c>
      <c r="H17" s="19" t="n">
        <f aca="false">IF(ISNUMBER('2 Mock NUSA'!S16),'2 Mock NUSA'!S16,"")</f>
        <v>25.4</v>
      </c>
      <c r="I17" s="19" t="str">
        <f aca="false">IF(L17="Tidak","Invalid",IF(AND(ISNUMBER(D17),D17&lt;'Baca Dulu'!$B$13),"Positif","Negatif"))</f>
        <v>Negatif</v>
      </c>
      <c r="J17" s="19" t="str">
        <f aca="false">IF(L17="Tidak","Invalid",IF(AND(ISNUMBER(E17),E17&lt;'Baca Dulu'!$B$13),"Positif","Negatif"))</f>
        <v>Negatif</v>
      </c>
      <c r="K17" s="19" t="str">
        <f aca="false">IF(L17="Tidak","Invalid",IF(OR(AND(ISNUMBER(F17),F17&lt;'Baca Dulu'!$B$13),AND(ISNUMBER(G17),G17&lt;'Baca Dulu'!$B$13)),"Positif","Negatif"))</f>
        <v>Negatif</v>
      </c>
      <c r="L17" s="19" t="str">
        <f aca="false">IF(AND(ISNUMBER(H17),H17&lt;='Baca Dulu'!$B$14),"Ya","Tidak")</f>
        <v>Ya</v>
      </c>
      <c r="M17" s="19" t="str">
        <f aca="false">IF(L17="Tidak","Invalid",IF(OR(I17="Positif",J17="Positif"),"Positif 16/18",IF(K17="Positif","Positif lain","Negatif")))</f>
        <v>Negatif</v>
      </c>
      <c r="N17" s="24" t="str">
        <f aca="false">IF(AND(L17="Ya",COUNT(D17:G17)&gt;0),MIN(D17:G17)-H17,"")</f>
        <v/>
      </c>
      <c r="O17" s="25" t="n">
        <f aca="false">INT('2 Mock NUSA'!J16)</f>
        <v>46301</v>
      </c>
      <c r="P17" s="19" t="s">
        <v>768</v>
      </c>
    </row>
    <row r="18" customFormat="false" ht="15" hidden="false" customHeight="true" outlineLevel="0" collapsed="false">
      <c r="A18" s="23" t="s">
        <v>34</v>
      </c>
      <c r="B18" s="19" t="str">
        <f aca="false">'2 Mock NUSA'!B17</f>
        <v>A-7115</v>
      </c>
      <c r="C18" s="19" t="str">
        <f aca="false">'2 Mock NUSA'!A17</f>
        <v>P-0016</v>
      </c>
      <c r="D18" s="19" t="str">
        <f aca="false">IF(ISNUMBER('2 Mock NUSA'!O17),'2 Mock NUSA'!O17,"")</f>
        <v/>
      </c>
      <c r="E18" s="19" t="n">
        <f aca="false">IF(ISNUMBER('2 Mock NUSA'!P17),'2 Mock NUSA'!P17,"")</f>
        <v>28.6</v>
      </c>
      <c r="F18" s="19" t="str">
        <f aca="false">IF(ISNUMBER('2 Mock NUSA'!Q17),'2 Mock NUSA'!Q17,"")</f>
        <v/>
      </c>
      <c r="G18" s="19" t="str">
        <f aca="false">IF(ISNUMBER('2 Mock NUSA'!R17),'2 Mock NUSA'!R17,"")</f>
        <v/>
      </c>
      <c r="H18" s="19" t="n">
        <f aca="false">IF(ISNUMBER('2 Mock NUSA'!S17),'2 Mock NUSA'!S17,"")</f>
        <v>28.3</v>
      </c>
      <c r="I18" s="19" t="str">
        <f aca="false">IF(L18="Tidak","Invalid",IF(AND(ISNUMBER(D18),D18&lt;'Baca Dulu'!$B$13),"Positif","Negatif"))</f>
        <v>Negatif</v>
      </c>
      <c r="J18" s="19" t="str">
        <f aca="false">IF(L18="Tidak","Invalid",IF(AND(ISNUMBER(E18),E18&lt;'Baca Dulu'!$B$13),"Positif","Negatif"))</f>
        <v>Positif</v>
      </c>
      <c r="K18" s="19" t="str">
        <f aca="false">IF(L18="Tidak","Invalid",IF(OR(AND(ISNUMBER(F18),F18&lt;'Baca Dulu'!$B$13),AND(ISNUMBER(G18),G18&lt;'Baca Dulu'!$B$13)),"Positif","Negatif"))</f>
        <v>Negatif</v>
      </c>
      <c r="L18" s="19" t="str">
        <f aca="false">IF(AND(ISNUMBER(H18),H18&lt;='Baca Dulu'!$B$14),"Ya","Tidak")</f>
        <v>Ya</v>
      </c>
      <c r="M18" s="19" t="str">
        <f aca="false">IF(L18="Tidak","Invalid",IF(OR(I18="Positif",J18="Positif"),"Positif 16/18",IF(K18="Positif","Positif lain","Negatif")))</f>
        <v>Positif 16/18</v>
      </c>
      <c r="N18" s="24" t="n">
        <f aca="false">IF(AND(L18="Ya",COUNT(D18:G18)&gt;0),MIN(D18:G18)-H18,"")</f>
        <v>0.300000000000001</v>
      </c>
      <c r="O18" s="25" t="n">
        <f aca="false">INT('2 Mock NUSA'!J17)</f>
        <v>46300</v>
      </c>
      <c r="P18" s="19" t="s">
        <v>768</v>
      </c>
    </row>
    <row r="19" customFormat="false" ht="15" hidden="false" customHeight="true" outlineLevel="0" collapsed="false">
      <c r="A19" s="23" t="s">
        <v>34</v>
      </c>
      <c r="B19" s="19" t="str">
        <f aca="false">'2 Mock NUSA'!B18</f>
        <v>A-7116</v>
      </c>
      <c r="C19" s="19" t="str">
        <f aca="false">'2 Mock NUSA'!A18</f>
        <v>P-0017</v>
      </c>
      <c r="D19" s="19" t="str">
        <f aca="false">IF(ISNUMBER('2 Mock NUSA'!O18),'2 Mock NUSA'!O18,"")</f>
        <v/>
      </c>
      <c r="E19" s="19" t="str">
        <f aca="false">IF(ISNUMBER('2 Mock NUSA'!P18),'2 Mock NUSA'!P18,"")</f>
        <v/>
      </c>
      <c r="F19" s="19" t="str">
        <f aca="false">IF(ISNUMBER('2 Mock NUSA'!Q18),'2 Mock NUSA'!Q18,"")</f>
        <v/>
      </c>
      <c r="G19" s="19" t="str">
        <f aca="false">IF(ISNUMBER('2 Mock NUSA'!R18),'2 Mock NUSA'!R18,"")</f>
        <v/>
      </c>
      <c r="H19" s="19" t="n">
        <f aca="false">IF(ISNUMBER('2 Mock NUSA'!S18),'2 Mock NUSA'!S18,"")</f>
        <v>28.5</v>
      </c>
      <c r="I19" s="19" t="str">
        <f aca="false">IF(L19="Tidak","Invalid",IF(AND(ISNUMBER(D19),D19&lt;'Baca Dulu'!$B$13),"Positif","Negatif"))</f>
        <v>Negatif</v>
      </c>
      <c r="J19" s="19" t="str">
        <f aca="false">IF(L19="Tidak","Invalid",IF(AND(ISNUMBER(E19),E19&lt;'Baca Dulu'!$B$13),"Positif","Negatif"))</f>
        <v>Negatif</v>
      </c>
      <c r="K19" s="19" t="str">
        <f aca="false">IF(L19="Tidak","Invalid",IF(OR(AND(ISNUMBER(F19),F19&lt;'Baca Dulu'!$B$13),AND(ISNUMBER(G19),G19&lt;'Baca Dulu'!$B$13)),"Positif","Negatif"))</f>
        <v>Negatif</v>
      </c>
      <c r="L19" s="19" t="str">
        <f aca="false">IF(AND(ISNUMBER(H19),H19&lt;='Baca Dulu'!$B$14),"Ya","Tidak")</f>
        <v>Ya</v>
      </c>
      <c r="M19" s="19" t="str">
        <f aca="false">IF(L19="Tidak","Invalid",IF(OR(I19="Positif",J19="Positif"),"Positif 16/18",IF(K19="Positif","Positif lain","Negatif")))</f>
        <v>Negatif</v>
      </c>
      <c r="N19" s="24" t="str">
        <f aca="false">IF(AND(L19="Ya",COUNT(D19:G19)&gt;0),MIN(D19:G19)-H19,"")</f>
        <v/>
      </c>
      <c r="O19" s="25" t="n">
        <f aca="false">INT('2 Mock NUSA'!J18)</f>
        <v>46308</v>
      </c>
      <c r="P19" s="19" t="s">
        <v>768</v>
      </c>
    </row>
    <row r="20" customFormat="false" ht="15" hidden="false" customHeight="true" outlineLevel="0" collapsed="false">
      <c r="A20" s="23" t="s">
        <v>34</v>
      </c>
      <c r="B20" s="19" t="str">
        <f aca="false">'2 Mock NUSA'!B19</f>
        <v>A-7117</v>
      </c>
      <c r="C20" s="19" t="str">
        <f aca="false">'2 Mock NUSA'!A19</f>
        <v>P-0018</v>
      </c>
      <c r="D20" s="19" t="str">
        <f aca="false">IF(ISNUMBER('2 Mock NUSA'!O19),'2 Mock NUSA'!O19,"")</f>
        <v/>
      </c>
      <c r="E20" s="19" t="str">
        <f aca="false">IF(ISNUMBER('2 Mock NUSA'!P19),'2 Mock NUSA'!P19,"")</f>
        <v/>
      </c>
      <c r="F20" s="19" t="str">
        <f aca="false">IF(ISNUMBER('2 Mock NUSA'!Q19),'2 Mock NUSA'!Q19,"")</f>
        <v/>
      </c>
      <c r="G20" s="19" t="str">
        <f aca="false">IF(ISNUMBER('2 Mock NUSA'!R19),'2 Mock NUSA'!R19,"")</f>
        <v/>
      </c>
      <c r="H20" s="19" t="n">
        <f aca="false">IF(ISNUMBER('2 Mock NUSA'!S19),'2 Mock NUSA'!S19,"")</f>
        <v>22.7</v>
      </c>
      <c r="I20" s="19" t="str">
        <f aca="false">IF(L20="Tidak","Invalid",IF(AND(ISNUMBER(D20),D20&lt;'Baca Dulu'!$B$13),"Positif","Negatif"))</f>
        <v>Negatif</v>
      </c>
      <c r="J20" s="19" t="str">
        <f aca="false">IF(L20="Tidak","Invalid",IF(AND(ISNUMBER(E20),E20&lt;'Baca Dulu'!$B$13),"Positif","Negatif"))</f>
        <v>Negatif</v>
      </c>
      <c r="K20" s="19" t="str">
        <f aca="false">IF(L20="Tidak","Invalid",IF(OR(AND(ISNUMBER(F20),F20&lt;'Baca Dulu'!$B$13),AND(ISNUMBER(G20),G20&lt;'Baca Dulu'!$B$13)),"Positif","Negatif"))</f>
        <v>Negatif</v>
      </c>
      <c r="L20" s="19" t="str">
        <f aca="false">IF(AND(ISNUMBER(H20),H20&lt;='Baca Dulu'!$B$14),"Ya","Tidak")</f>
        <v>Ya</v>
      </c>
      <c r="M20" s="19" t="str">
        <f aca="false">IF(L20="Tidak","Invalid",IF(OR(I20="Positif",J20="Positif"),"Positif 16/18",IF(K20="Positif","Positif lain","Negatif")))</f>
        <v>Negatif</v>
      </c>
      <c r="N20" s="24" t="str">
        <f aca="false">IF(AND(L20="Ya",COUNT(D20:G20)&gt;0),MIN(D20:G20)-H20,"")</f>
        <v/>
      </c>
      <c r="O20" s="25" t="n">
        <f aca="false">INT('2 Mock NUSA'!J19)</f>
        <v>46300</v>
      </c>
      <c r="P20" s="19" t="s">
        <v>768</v>
      </c>
    </row>
    <row r="21" customFormat="false" ht="15" hidden="false" customHeight="true" outlineLevel="0" collapsed="false">
      <c r="A21" s="23" t="s">
        <v>34</v>
      </c>
      <c r="B21" s="19" t="str">
        <f aca="false">'2 Mock NUSA'!B20</f>
        <v>A-7118</v>
      </c>
      <c r="C21" s="19" t="str">
        <f aca="false">'2 Mock NUSA'!A20</f>
        <v>P-0019</v>
      </c>
      <c r="D21" s="19" t="str">
        <f aca="false">IF(ISNUMBER('2 Mock NUSA'!O20),'2 Mock NUSA'!O20,"")</f>
        <v/>
      </c>
      <c r="E21" s="19" t="str">
        <f aca="false">IF(ISNUMBER('2 Mock NUSA'!P20),'2 Mock NUSA'!P20,"")</f>
        <v/>
      </c>
      <c r="F21" s="19" t="str">
        <f aca="false">IF(ISNUMBER('2 Mock NUSA'!Q20),'2 Mock NUSA'!Q20,"")</f>
        <v/>
      </c>
      <c r="G21" s="19" t="n">
        <f aca="false">IF(ISNUMBER('2 Mock NUSA'!R20),'2 Mock NUSA'!R20,"")</f>
        <v>27.9</v>
      </c>
      <c r="H21" s="19" t="n">
        <f aca="false">IF(ISNUMBER('2 Mock NUSA'!S20),'2 Mock NUSA'!S20,"")</f>
        <v>24.6</v>
      </c>
      <c r="I21" s="19" t="str">
        <f aca="false">IF(L21="Tidak","Invalid",IF(AND(ISNUMBER(D21),D21&lt;'Baca Dulu'!$B$13),"Positif","Negatif"))</f>
        <v>Negatif</v>
      </c>
      <c r="J21" s="19" t="str">
        <f aca="false">IF(L21="Tidak","Invalid",IF(AND(ISNUMBER(E21),E21&lt;'Baca Dulu'!$B$13),"Positif","Negatif"))</f>
        <v>Negatif</v>
      </c>
      <c r="K21" s="19" t="str">
        <f aca="false">IF(L21="Tidak","Invalid",IF(OR(AND(ISNUMBER(F21),F21&lt;'Baca Dulu'!$B$13),AND(ISNUMBER(G21),G21&lt;'Baca Dulu'!$B$13)),"Positif","Negatif"))</f>
        <v>Positif</v>
      </c>
      <c r="L21" s="19" t="str">
        <f aca="false">IF(AND(ISNUMBER(H21),H21&lt;='Baca Dulu'!$B$14),"Ya","Tidak")</f>
        <v>Ya</v>
      </c>
      <c r="M21" s="19" t="str">
        <f aca="false">IF(L21="Tidak","Invalid",IF(OR(I21="Positif",J21="Positif"),"Positif 16/18",IF(K21="Positif","Positif lain","Negatif")))</f>
        <v>Positif lain</v>
      </c>
      <c r="N21" s="24" t="n">
        <f aca="false">IF(AND(L21="Ya",COUNT(D21:G21)&gt;0),MIN(D21:G21)-H21,"")</f>
        <v>3.3</v>
      </c>
      <c r="O21" s="25" t="n">
        <f aca="false">INT('2 Mock NUSA'!J20)</f>
        <v>46305</v>
      </c>
      <c r="P21" s="19" t="s">
        <v>768</v>
      </c>
    </row>
    <row r="22" customFormat="false" ht="15" hidden="false" customHeight="true" outlineLevel="0" collapsed="false">
      <c r="A22" s="23" t="s">
        <v>34</v>
      </c>
      <c r="B22" s="19" t="str">
        <f aca="false">'2 Mock NUSA'!B21</f>
        <v>A-7119</v>
      </c>
      <c r="C22" s="19" t="str">
        <f aca="false">'2 Mock NUSA'!A21</f>
        <v>P-0020</v>
      </c>
      <c r="D22" s="19" t="str">
        <f aca="false">IF(ISNUMBER('2 Mock NUSA'!O21),'2 Mock NUSA'!O21,"")</f>
        <v/>
      </c>
      <c r="E22" s="19" t="str">
        <f aca="false">IF(ISNUMBER('2 Mock NUSA'!P21),'2 Mock NUSA'!P21,"")</f>
        <v/>
      </c>
      <c r="F22" s="19" t="str">
        <f aca="false">IF(ISNUMBER('2 Mock NUSA'!Q21),'2 Mock NUSA'!Q21,"")</f>
        <v/>
      </c>
      <c r="G22" s="19" t="str">
        <f aca="false">IF(ISNUMBER('2 Mock NUSA'!R21),'2 Mock NUSA'!R21,"")</f>
        <v/>
      </c>
      <c r="H22" s="19" t="n">
        <f aca="false">IF(ISNUMBER('2 Mock NUSA'!S21),'2 Mock NUSA'!S21,"")</f>
        <v>25.9</v>
      </c>
      <c r="I22" s="19" t="str">
        <f aca="false">IF(L22="Tidak","Invalid",IF(AND(ISNUMBER(D22),D22&lt;'Baca Dulu'!$B$13),"Positif","Negatif"))</f>
        <v>Negatif</v>
      </c>
      <c r="J22" s="19" t="str">
        <f aca="false">IF(L22="Tidak","Invalid",IF(AND(ISNUMBER(E22),E22&lt;'Baca Dulu'!$B$13),"Positif","Negatif"))</f>
        <v>Negatif</v>
      </c>
      <c r="K22" s="19" t="str">
        <f aca="false">IF(L22="Tidak","Invalid",IF(OR(AND(ISNUMBER(F22),F22&lt;'Baca Dulu'!$B$13),AND(ISNUMBER(G22),G22&lt;'Baca Dulu'!$B$13)),"Positif","Negatif"))</f>
        <v>Negatif</v>
      </c>
      <c r="L22" s="19" t="str">
        <f aca="false">IF(AND(ISNUMBER(H22),H22&lt;='Baca Dulu'!$B$14),"Ya","Tidak")</f>
        <v>Ya</v>
      </c>
      <c r="M22" s="19" t="str">
        <f aca="false">IF(L22="Tidak","Invalid",IF(OR(I22="Positif",J22="Positif"),"Positif 16/18",IF(K22="Positif","Positif lain","Negatif")))</f>
        <v>Negatif</v>
      </c>
      <c r="N22" s="24" t="str">
        <f aca="false">IF(AND(L22="Ya",COUNT(D22:G22)&gt;0),MIN(D22:G22)-H22,"")</f>
        <v/>
      </c>
      <c r="O22" s="25" t="n">
        <f aca="false">INT('2 Mock NUSA'!J21)</f>
        <v>46305</v>
      </c>
      <c r="P22" s="19" t="s">
        <v>768</v>
      </c>
    </row>
    <row r="23" customFormat="false" ht="15" hidden="false" customHeight="true" outlineLevel="0" collapsed="false">
      <c r="A23" s="23" t="s">
        <v>34</v>
      </c>
      <c r="B23" s="19" t="str">
        <f aca="false">'2 Mock NUSA'!B22</f>
        <v>A-7120</v>
      </c>
      <c r="C23" s="19" t="str">
        <f aca="false">'2 Mock NUSA'!A22</f>
        <v>P-0021</v>
      </c>
      <c r="D23" s="19" t="str">
        <f aca="false">IF(ISNUMBER('2 Mock NUSA'!O22),'2 Mock NUSA'!O22,"")</f>
        <v/>
      </c>
      <c r="E23" s="19" t="str">
        <f aca="false">IF(ISNUMBER('2 Mock NUSA'!P22),'2 Mock NUSA'!P22,"")</f>
        <v/>
      </c>
      <c r="F23" s="19" t="str">
        <f aca="false">IF(ISNUMBER('2 Mock NUSA'!Q22),'2 Mock NUSA'!Q22,"")</f>
        <v/>
      </c>
      <c r="G23" s="19" t="str">
        <f aca="false">IF(ISNUMBER('2 Mock NUSA'!R22),'2 Mock NUSA'!R22,"")</f>
        <v/>
      </c>
      <c r="H23" s="19" t="n">
        <f aca="false">IF(ISNUMBER('2 Mock NUSA'!S22),'2 Mock NUSA'!S22,"")</f>
        <v>26</v>
      </c>
      <c r="I23" s="19" t="str">
        <f aca="false">IF(L23="Tidak","Invalid",IF(AND(ISNUMBER(D23),D23&lt;'Baca Dulu'!$B$13),"Positif","Negatif"))</f>
        <v>Negatif</v>
      </c>
      <c r="J23" s="19" t="str">
        <f aca="false">IF(L23="Tidak","Invalid",IF(AND(ISNUMBER(E23),E23&lt;'Baca Dulu'!$B$13),"Positif","Negatif"))</f>
        <v>Negatif</v>
      </c>
      <c r="K23" s="19" t="str">
        <f aca="false">IF(L23="Tidak","Invalid",IF(OR(AND(ISNUMBER(F23),F23&lt;'Baca Dulu'!$B$13),AND(ISNUMBER(G23),G23&lt;'Baca Dulu'!$B$13)),"Positif","Negatif"))</f>
        <v>Negatif</v>
      </c>
      <c r="L23" s="19" t="str">
        <f aca="false">IF(AND(ISNUMBER(H23),H23&lt;='Baca Dulu'!$B$14),"Ya","Tidak")</f>
        <v>Ya</v>
      </c>
      <c r="M23" s="19" t="str">
        <f aca="false">IF(L23="Tidak","Invalid",IF(OR(I23="Positif",J23="Positif"),"Positif 16/18",IF(K23="Positif","Positif lain","Negatif")))</f>
        <v>Negatif</v>
      </c>
      <c r="N23" s="24" t="str">
        <f aca="false">IF(AND(L23="Ya",COUNT(D23:G23)&gt;0),MIN(D23:G23)-H23,"")</f>
        <v/>
      </c>
      <c r="O23" s="25" t="n">
        <f aca="false">INT('2 Mock NUSA'!J22)</f>
        <v>46303</v>
      </c>
      <c r="P23" s="19" t="s">
        <v>768</v>
      </c>
    </row>
    <row r="24" customFormat="false" ht="15" hidden="false" customHeight="true" outlineLevel="0" collapsed="false">
      <c r="A24" s="23" t="s">
        <v>34</v>
      </c>
      <c r="B24" s="19" t="str">
        <f aca="false">'2 Mock NUSA'!B23</f>
        <v>A-7121</v>
      </c>
      <c r="C24" s="19" t="str">
        <f aca="false">'2 Mock NUSA'!A23</f>
        <v>P-0022</v>
      </c>
      <c r="D24" s="19" t="str">
        <f aca="false">IF(ISNUMBER('2 Mock NUSA'!O23),'2 Mock NUSA'!O23,"")</f>
        <v/>
      </c>
      <c r="E24" s="19" t="str">
        <f aca="false">IF(ISNUMBER('2 Mock NUSA'!P23),'2 Mock NUSA'!P23,"")</f>
        <v/>
      </c>
      <c r="F24" s="19" t="str">
        <f aca="false">IF(ISNUMBER('2 Mock NUSA'!Q23),'2 Mock NUSA'!Q23,"")</f>
        <v/>
      </c>
      <c r="G24" s="19" t="str">
        <f aca="false">IF(ISNUMBER('2 Mock NUSA'!R23),'2 Mock NUSA'!R23,"")</f>
        <v/>
      </c>
      <c r="H24" s="19" t="n">
        <f aca="false">IF(ISNUMBER('2 Mock NUSA'!S23),'2 Mock NUSA'!S23,"")</f>
        <v>25.8</v>
      </c>
      <c r="I24" s="19" t="str">
        <f aca="false">IF(L24="Tidak","Invalid",IF(AND(ISNUMBER(D24),D24&lt;'Baca Dulu'!$B$13),"Positif","Negatif"))</f>
        <v>Negatif</v>
      </c>
      <c r="J24" s="19" t="str">
        <f aca="false">IF(L24="Tidak","Invalid",IF(AND(ISNUMBER(E24),E24&lt;'Baca Dulu'!$B$13),"Positif","Negatif"))</f>
        <v>Negatif</v>
      </c>
      <c r="K24" s="19" t="str">
        <f aca="false">IF(L24="Tidak","Invalid",IF(OR(AND(ISNUMBER(F24),F24&lt;'Baca Dulu'!$B$13),AND(ISNUMBER(G24),G24&lt;'Baca Dulu'!$B$13)),"Positif","Negatif"))</f>
        <v>Negatif</v>
      </c>
      <c r="L24" s="19" t="str">
        <f aca="false">IF(AND(ISNUMBER(H24),H24&lt;='Baca Dulu'!$B$14),"Ya","Tidak")</f>
        <v>Ya</v>
      </c>
      <c r="M24" s="19" t="str">
        <f aca="false">IF(L24="Tidak","Invalid",IF(OR(I24="Positif",J24="Positif"),"Positif 16/18",IF(K24="Positif","Positif lain","Negatif")))</f>
        <v>Negatif</v>
      </c>
      <c r="N24" s="24" t="str">
        <f aca="false">IF(AND(L24="Ya",COUNT(D24:G24)&gt;0),MIN(D24:G24)-H24,"")</f>
        <v/>
      </c>
      <c r="O24" s="25" t="n">
        <f aca="false">INT('2 Mock NUSA'!J23)</f>
        <v>46305</v>
      </c>
      <c r="P24" s="19" t="s">
        <v>768</v>
      </c>
    </row>
    <row r="25" customFormat="false" ht="15" hidden="false" customHeight="true" outlineLevel="0" collapsed="false">
      <c r="A25" s="23" t="s">
        <v>34</v>
      </c>
      <c r="B25" s="19" t="str">
        <f aca="false">'2 Mock NUSA'!B24</f>
        <v>A-7122</v>
      </c>
      <c r="C25" s="19" t="str">
        <f aca="false">'2 Mock NUSA'!A24</f>
        <v>P-0023</v>
      </c>
      <c r="D25" s="19" t="str">
        <f aca="false">IF(ISNUMBER('2 Mock NUSA'!O24),'2 Mock NUSA'!O24,"")</f>
        <v/>
      </c>
      <c r="E25" s="19" t="str">
        <f aca="false">IF(ISNUMBER('2 Mock NUSA'!P24),'2 Mock NUSA'!P24,"")</f>
        <v/>
      </c>
      <c r="F25" s="19" t="str">
        <f aca="false">IF(ISNUMBER('2 Mock NUSA'!Q24),'2 Mock NUSA'!Q24,"")</f>
        <v/>
      </c>
      <c r="G25" s="19" t="str">
        <f aca="false">IF(ISNUMBER('2 Mock NUSA'!R24),'2 Mock NUSA'!R24,"")</f>
        <v/>
      </c>
      <c r="H25" s="19" t="n">
        <f aca="false">IF(ISNUMBER('2 Mock NUSA'!S24),'2 Mock NUSA'!S24,"")</f>
        <v>30.1</v>
      </c>
      <c r="I25" s="19" t="str">
        <f aca="false">IF(L25="Tidak","Invalid",IF(AND(ISNUMBER(D25),D25&lt;'Baca Dulu'!$B$13),"Positif","Negatif"))</f>
        <v>Negatif</v>
      </c>
      <c r="J25" s="19" t="str">
        <f aca="false">IF(L25="Tidak","Invalid",IF(AND(ISNUMBER(E25),E25&lt;'Baca Dulu'!$B$13),"Positif","Negatif"))</f>
        <v>Negatif</v>
      </c>
      <c r="K25" s="19" t="str">
        <f aca="false">IF(L25="Tidak","Invalid",IF(OR(AND(ISNUMBER(F25),F25&lt;'Baca Dulu'!$B$13),AND(ISNUMBER(G25),G25&lt;'Baca Dulu'!$B$13)),"Positif","Negatif"))</f>
        <v>Negatif</v>
      </c>
      <c r="L25" s="19" t="str">
        <f aca="false">IF(AND(ISNUMBER(H25),H25&lt;='Baca Dulu'!$B$14),"Ya","Tidak")</f>
        <v>Ya</v>
      </c>
      <c r="M25" s="19" t="str">
        <f aca="false">IF(L25="Tidak","Invalid",IF(OR(I25="Positif",J25="Positif"),"Positif 16/18",IF(K25="Positif","Positif lain","Negatif")))</f>
        <v>Negatif</v>
      </c>
      <c r="N25" s="24" t="str">
        <f aca="false">IF(AND(L25="Ya",COUNT(D25:G25)&gt;0),MIN(D25:G25)-H25,"")</f>
        <v/>
      </c>
      <c r="O25" s="25" t="n">
        <f aca="false">INT('2 Mock NUSA'!J24)</f>
        <v>46302</v>
      </c>
      <c r="P25" s="19" t="s">
        <v>768</v>
      </c>
    </row>
    <row r="26" customFormat="false" ht="15" hidden="false" customHeight="true" outlineLevel="0" collapsed="false">
      <c r="A26" s="23" t="s">
        <v>34</v>
      </c>
      <c r="B26" s="19" t="str">
        <f aca="false">'2 Mock NUSA'!B25</f>
        <v>A-7123</v>
      </c>
      <c r="C26" s="19" t="str">
        <f aca="false">'2 Mock NUSA'!A25</f>
        <v>P-0024</v>
      </c>
      <c r="D26" s="19" t="str">
        <f aca="false">IF(ISNUMBER('2 Mock NUSA'!O25),'2 Mock NUSA'!O25,"")</f>
        <v/>
      </c>
      <c r="E26" s="19" t="str">
        <f aca="false">IF(ISNUMBER('2 Mock NUSA'!P25),'2 Mock NUSA'!P25,"")</f>
        <v/>
      </c>
      <c r="F26" s="19" t="str">
        <f aca="false">IF(ISNUMBER('2 Mock NUSA'!Q25),'2 Mock NUSA'!Q25,"")</f>
        <v/>
      </c>
      <c r="G26" s="19" t="str">
        <f aca="false">IF(ISNUMBER('2 Mock NUSA'!R25),'2 Mock NUSA'!R25,"")</f>
        <v/>
      </c>
      <c r="H26" s="19" t="str">
        <f aca="false">IF(ISNUMBER('2 Mock NUSA'!S25),'2 Mock NUSA'!S25,"")</f>
        <v/>
      </c>
      <c r="I26" s="19" t="str">
        <f aca="false">IF(L26="Tidak","Invalid",IF(AND(ISNUMBER(D26),D26&lt;'Baca Dulu'!$B$13),"Positif","Negatif"))</f>
        <v>Invalid</v>
      </c>
      <c r="J26" s="19" t="str">
        <f aca="false">IF(L26="Tidak","Invalid",IF(AND(ISNUMBER(E26),E26&lt;'Baca Dulu'!$B$13),"Positif","Negatif"))</f>
        <v>Invalid</v>
      </c>
      <c r="K26" s="19" t="str">
        <f aca="false">IF(L26="Tidak","Invalid",IF(OR(AND(ISNUMBER(F26),F26&lt;'Baca Dulu'!$B$13),AND(ISNUMBER(G26),G26&lt;'Baca Dulu'!$B$13)),"Positif","Negatif"))</f>
        <v>Invalid</v>
      </c>
      <c r="L26" s="19" t="str">
        <f aca="false">IF(AND(ISNUMBER(H26),H26&lt;='Baca Dulu'!$B$14),"Ya","Tidak")</f>
        <v>Tidak</v>
      </c>
      <c r="M26" s="19" t="str">
        <f aca="false">IF(L26="Tidak","Invalid",IF(OR(I26="Positif",J26="Positif"),"Positif 16/18",IF(K26="Positif","Positif lain","Negatif")))</f>
        <v>Invalid</v>
      </c>
      <c r="N26" s="24" t="str">
        <f aca="false">IF(AND(L26="Ya",COUNT(D26:G26)&gt;0),MIN(D26:G26)-H26,"")</f>
        <v/>
      </c>
      <c r="O26" s="25" t="n">
        <f aca="false">INT('2 Mock NUSA'!J25)</f>
        <v>46304</v>
      </c>
      <c r="P26" s="19" t="s">
        <v>768</v>
      </c>
    </row>
    <row r="27" customFormat="false" ht="15" hidden="false" customHeight="true" outlineLevel="0" collapsed="false">
      <c r="A27" s="23" t="s">
        <v>34</v>
      </c>
      <c r="B27" s="19" t="str">
        <f aca="false">'2 Mock NUSA'!B26</f>
        <v>A-7124</v>
      </c>
      <c r="C27" s="19" t="str">
        <f aca="false">'2 Mock NUSA'!A26</f>
        <v>P-0025</v>
      </c>
      <c r="D27" s="19" t="str">
        <f aca="false">IF(ISNUMBER('2 Mock NUSA'!O26),'2 Mock NUSA'!O26,"")</f>
        <v/>
      </c>
      <c r="E27" s="19" t="str">
        <f aca="false">IF(ISNUMBER('2 Mock NUSA'!P26),'2 Mock NUSA'!P26,"")</f>
        <v/>
      </c>
      <c r="F27" s="19" t="n">
        <f aca="false">IF(ISNUMBER('2 Mock NUSA'!Q26),'2 Mock NUSA'!Q26,"")</f>
        <v>25.7</v>
      </c>
      <c r="G27" s="19" t="str">
        <f aca="false">IF(ISNUMBER('2 Mock NUSA'!R26),'2 Mock NUSA'!R26,"")</f>
        <v/>
      </c>
      <c r="H27" s="19" t="n">
        <f aca="false">IF(ISNUMBER('2 Mock NUSA'!S26),'2 Mock NUSA'!S26,"")</f>
        <v>22.7</v>
      </c>
      <c r="I27" s="19" t="str">
        <f aca="false">IF(L27="Tidak","Invalid",IF(AND(ISNUMBER(D27),D27&lt;'Baca Dulu'!$B$13),"Positif","Negatif"))</f>
        <v>Negatif</v>
      </c>
      <c r="J27" s="19" t="str">
        <f aca="false">IF(L27="Tidak","Invalid",IF(AND(ISNUMBER(E27),E27&lt;'Baca Dulu'!$B$13),"Positif","Negatif"))</f>
        <v>Negatif</v>
      </c>
      <c r="K27" s="19" t="str">
        <f aca="false">IF(L27="Tidak","Invalid",IF(OR(AND(ISNUMBER(F27),F27&lt;'Baca Dulu'!$B$13),AND(ISNUMBER(G27),G27&lt;'Baca Dulu'!$B$13)),"Positif","Negatif"))</f>
        <v>Positif</v>
      </c>
      <c r="L27" s="19" t="str">
        <f aca="false">IF(AND(ISNUMBER(H27),H27&lt;='Baca Dulu'!$B$14),"Ya","Tidak")</f>
        <v>Ya</v>
      </c>
      <c r="M27" s="19" t="str">
        <f aca="false">IF(L27="Tidak","Invalid",IF(OR(I27="Positif",J27="Positif"),"Positif 16/18",IF(K27="Positif","Positif lain","Negatif")))</f>
        <v>Positif lain</v>
      </c>
      <c r="N27" s="24" t="n">
        <f aca="false">IF(AND(L27="Ya",COUNT(D27:G27)&gt;0),MIN(D27:G27)-H27,"")</f>
        <v>3</v>
      </c>
      <c r="O27" s="25" t="n">
        <f aca="false">INT('2 Mock NUSA'!J26)</f>
        <v>46302</v>
      </c>
      <c r="P27" s="19" t="s">
        <v>768</v>
      </c>
    </row>
    <row r="28" customFormat="false" ht="15" hidden="false" customHeight="true" outlineLevel="0" collapsed="false">
      <c r="A28" s="23" t="s">
        <v>34</v>
      </c>
      <c r="B28" s="19" t="str">
        <f aca="false">'2 Mock NUSA'!B27</f>
        <v>A-7125</v>
      </c>
      <c r="C28" s="19" t="str">
        <f aca="false">'2 Mock NUSA'!A27</f>
        <v>P-0026</v>
      </c>
      <c r="D28" s="19" t="str">
        <f aca="false">IF(ISNUMBER('2 Mock NUSA'!O27),'2 Mock NUSA'!O27,"")</f>
        <v/>
      </c>
      <c r="E28" s="19" t="n">
        <f aca="false">IF(ISNUMBER('2 Mock NUSA'!P27),'2 Mock NUSA'!P27,"")</f>
        <v>22.9</v>
      </c>
      <c r="F28" s="19" t="str">
        <f aca="false">IF(ISNUMBER('2 Mock NUSA'!Q27),'2 Mock NUSA'!Q27,"")</f>
        <v/>
      </c>
      <c r="G28" s="19" t="str">
        <f aca="false">IF(ISNUMBER('2 Mock NUSA'!R27),'2 Mock NUSA'!R27,"")</f>
        <v/>
      </c>
      <c r="H28" s="19" t="n">
        <f aca="false">IF(ISNUMBER('2 Mock NUSA'!S27),'2 Mock NUSA'!S27,"")</f>
        <v>26</v>
      </c>
      <c r="I28" s="19" t="str">
        <f aca="false">IF(L28="Tidak","Invalid",IF(AND(ISNUMBER(D28),D28&lt;'Baca Dulu'!$B$13),"Positif","Negatif"))</f>
        <v>Negatif</v>
      </c>
      <c r="J28" s="19" t="str">
        <f aca="false">IF(L28="Tidak","Invalid",IF(AND(ISNUMBER(E28),E28&lt;'Baca Dulu'!$B$13),"Positif","Negatif"))</f>
        <v>Positif</v>
      </c>
      <c r="K28" s="19" t="str">
        <f aca="false">IF(L28="Tidak","Invalid",IF(OR(AND(ISNUMBER(F28),F28&lt;'Baca Dulu'!$B$13),AND(ISNUMBER(G28),G28&lt;'Baca Dulu'!$B$13)),"Positif","Negatif"))</f>
        <v>Negatif</v>
      </c>
      <c r="L28" s="19" t="str">
        <f aca="false">IF(AND(ISNUMBER(H28),H28&lt;='Baca Dulu'!$B$14),"Ya","Tidak")</f>
        <v>Ya</v>
      </c>
      <c r="M28" s="19" t="str">
        <f aca="false">IF(L28="Tidak","Invalid",IF(OR(I28="Positif",J28="Positif"),"Positif 16/18",IF(K28="Positif","Positif lain","Negatif")))</f>
        <v>Positif 16/18</v>
      </c>
      <c r="N28" s="24" t="n">
        <f aca="false">IF(AND(L28="Ya",COUNT(D28:G28)&gt;0),MIN(D28:G28)-H28,"")</f>
        <v>-3.1</v>
      </c>
      <c r="O28" s="25" t="n">
        <f aca="false">INT('2 Mock NUSA'!J27)</f>
        <v>46305</v>
      </c>
      <c r="P28" s="19" t="s">
        <v>768</v>
      </c>
    </row>
    <row r="29" customFormat="false" ht="15" hidden="false" customHeight="true" outlineLevel="0" collapsed="false">
      <c r="A29" s="23" t="s">
        <v>34</v>
      </c>
      <c r="B29" s="19" t="str">
        <f aca="false">'2 Mock NUSA'!B28</f>
        <v>A-7126</v>
      </c>
      <c r="C29" s="19" t="str">
        <f aca="false">'2 Mock NUSA'!A28</f>
        <v>P-0027</v>
      </c>
      <c r="D29" s="19" t="str">
        <f aca="false">IF(ISNUMBER('2 Mock NUSA'!O28),'2 Mock NUSA'!O28,"")</f>
        <v/>
      </c>
      <c r="E29" s="19" t="str">
        <f aca="false">IF(ISNUMBER('2 Mock NUSA'!P28),'2 Mock NUSA'!P28,"")</f>
        <v/>
      </c>
      <c r="F29" s="19" t="str">
        <f aca="false">IF(ISNUMBER('2 Mock NUSA'!Q28),'2 Mock NUSA'!Q28,"")</f>
        <v/>
      </c>
      <c r="G29" s="19" t="str">
        <f aca="false">IF(ISNUMBER('2 Mock NUSA'!R28),'2 Mock NUSA'!R28,"")</f>
        <v/>
      </c>
      <c r="H29" s="19" t="n">
        <f aca="false">IF(ISNUMBER('2 Mock NUSA'!S28),'2 Mock NUSA'!S28,"")</f>
        <v>27.8</v>
      </c>
      <c r="I29" s="19" t="str">
        <f aca="false">IF(L29="Tidak","Invalid",IF(AND(ISNUMBER(D29),D29&lt;'Baca Dulu'!$B$13),"Positif","Negatif"))</f>
        <v>Negatif</v>
      </c>
      <c r="J29" s="19" t="str">
        <f aca="false">IF(L29="Tidak","Invalid",IF(AND(ISNUMBER(E29),E29&lt;'Baca Dulu'!$B$13),"Positif","Negatif"))</f>
        <v>Negatif</v>
      </c>
      <c r="K29" s="19" t="str">
        <f aca="false">IF(L29="Tidak","Invalid",IF(OR(AND(ISNUMBER(F29),F29&lt;'Baca Dulu'!$B$13),AND(ISNUMBER(G29),G29&lt;'Baca Dulu'!$B$13)),"Positif","Negatif"))</f>
        <v>Negatif</v>
      </c>
      <c r="L29" s="19" t="str">
        <f aca="false">IF(AND(ISNUMBER(H29),H29&lt;='Baca Dulu'!$B$14),"Ya","Tidak")</f>
        <v>Ya</v>
      </c>
      <c r="M29" s="19" t="str">
        <f aca="false">IF(L29="Tidak","Invalid",IF(OR(I29="Positif",J29="Positif"),"Positif 16/18",IF(K29="Positif","Positif lain","Negatif")))</f>
        <v>Negatif</v>
      </c>
      <c r="N29" s="24" t="str">
        <f aca="false">IF(AND(L29="Ya",COUNT(D29:G29)&gt;0),MIN(D29:G29)-H29,"")</f>
        <v/>
      </c>
      <c r="O29" s="25" t="n">
        <f aca="false">INT('2 Mock NUSA'!J28)</f>
        <v>46304</v>
      </c>
      <c r="P29" s="19" t="s">
        <v>768</v>
      </c>
    </row>
    <row r="30" customFormat="false" ht="15" hidden="false" customHeight="true" outlineLevel="0" collapsed="false">
      <c r="A30" s="23" t="s">
        <v>34</v>
      </c>
      <c r="B30" s="19" t="str">
        <f aca="false">'2 Mock NUSA'!B29</f>
        <v>A-7127</v>
      </c>
      <c r="C30" s="19" t="str">
        <f aca="false">'2 Mock NUSA'!A29</f>
        <v>P-0028</v>
      </c>
      <c r="D30" s="19" t="str">
        <f aca="false">IF(ISNUMBER('2 Mock NUSA'!O29),'2 Mock NUSA'!O29,"")</f>
        <v/>
      </c>
      <c r="E30" s="19" t="str">
        <f aca="false">IF(ISNUMBER('2 Mock NUSA'!P29),'2 Mock NUSA'!P29,"")</f>
        <v/>
      </c>
      <c r="F30" s="19" t="str">
        <f aca="false">IF(ISNUMBER('2 Mock NUSA'!Q29),'2 Mock NUSA'!Q29,"")</f>
        <v/>
      </c>
      <c r="G30" s="19" t="str">
        <f aca="false">IF(ISNUMBER('2 Mock NUSA'!R29),'2 Mock NUSA'!R29,"")</f>
        <v/>
      </c>
      <c r="H30" s="19" t="n">
        <f aca="false">IF(ISNUMBER('2 Mock NUSA'!S29),'2 Mock NUSA'!S29,"")</f>
        <v>22.6</v>
      </c>
      <c r="I30" s="19" t="str">
        <f aca="false">IF(L30="Tidak","Invalid",IF(AND(ISNUMBER(D30),D30&lt;'Baca Dulu'!$B$13),"Positif","Negatif"))</f>
        <v>Negatif</v>
      </c>
      <c r="J30" s="19" t="str">
        <f aca="false">IF(L30="Tidak","Invalid",IF(AND(ISNUMBER(E30),E30&lt;'Baca Dulu'!$B$13),"Positif","Negatif"))</f>
        <v>Negatif</v>
      </c>
      <c r="K30" s="19" t="str">
        <f aca="false">IF(L30="Tidak","Invalid",IF(OR(AND(ISNUMBER(F30),F30&lt;'Baca Dulu'!$B$13),AND(ISNUMBER(G30),G30&lt;'Baca Dulu'!$B$13)),"Positif","Negatif"))</f>
        <v>Negatif</v>
      </c>
      <c r="L30" s="19" t="str">
        <f aca="false">IF(AND(ISNUMBER(H30),H30&lt;='Baca Dulu'!$B$14),"Ya","Tidak")</f>
        <v>Ya</v>
      </c>
      <c r="M30" s="19" t="str">
        <f aca="false">IF(L30="Tidak","Invalid",IF(OR(I30="Positif",J30="Positif"),"Positif 16/18",IF(K30="Positif","Positif lain","Negatif")))</f>
        <v>Negatif</v>
      </c>
      <c r="N30" s="24" t="str">
        <f aca="false">IF(AND(L30="Ya",COUNT(D30:G30)&gt;0),MIN(D30:G30)-H30,"")</f>
        <v/>
      </c>
      <c r="O30" s="25" t="n">
        <f aca="false">INT('2 Mock NUSA'!J29)</f>
        <v>46300</v>
      </c>
      <c r="P30" s="19" t="s">
        <v>768</v>
      </c>
    </row>
    <row r="31" customFormat="false" ht="15" hidden="false" customHeight="true" outlineLevel="0" collapsed="false">
      <c r="A31" s="23" t="s">
        <v>34</v>
      </c>
      <c r="B31" s="19" t="str">
        <f aca="false">'2 Mock NUSA'!B30</f>
        <v>A-7128</v>
      </c>
      <c r="C31" s="19" t="str">
        <f aca="false">'2 Mock NUSA'!A30</f>
        <v>P-0029</v>
      </c>
      <c r="D31" s="19" t="str">
        <f aca="false">IF(ISNUMBER('2 Mock NUSA'!O30),'2 Mock NUSA'!O30,"")</f>
        <v/>
      </c>
      <c r="E31" s="19" t="str">
        <f aca="false">IF(ISNUMBER('2 Mock NUSA'!P30),'2 Mock NUSA'!P30,"")</f>
        <v/>
      </c>
      <c r="F31" s="19" t="str">
        <f aca="false">IF(ISNUMBER('2 Mock NUSA'!Q30),'2 Mock NUSA'!Q30,"")</f>
        <v/>
      </c>
      <c r="G31" s="19" t="str">
        <f aca="false">IF(ISNUMBER('2 Mock NUSA'!R30),'2 Mock NUSA'!R30,"")</f>
        <v/>
      </c>
      <c r="H31" s="19" t="n">
        <f aca="false">IF(ISNUMBER('2 Mock NUSA'!S30),'2 Mock NUSA'!S30,"")</f>
        <v>27.5</v>
      </c>
      <c r="I31" s="19" t="str">
        <f aca="false">IF(L31="Tidak","Invalid",IF(AND(ISNUMBER(D31),D31&lt;'Baca Dulu'!$B$13),"Positif","Negatif"))</f>
        <v>Negatif</v>
      </c>
      <c r="J31" s="19" t="str">
        <f aca="false">IF(L31="Tidak","Invalid",IF(AND(ISNUMBER(E31),E31&lt;'Baca Dulu'!$B$13),"Positif","Negatif"))</f>
        <v>Negatif</v>
      </c>
      <c r="K31" s="19" t="str">
        <f aca="false">IF(L31="Tidak","Invalid",IF(OR(AND(ISNUMBER(F31),F31&lt;'Baca Dulu'!$B$13),AND(ISNUMBER(G31),G31&lt;'Baca Dulu'!$B$13)),"Positif","Negatif"))</f>
        <v>Negatif</v>
      </c>
      <c r="L31" s="19" t="str">
        <f aca="false">IF(AND(ISNUMBER(H31),H31&lt;='Baca Dulu'!$B$14),"Ya","Tidak")</f>
        <v>Ya</v>
      </c>
      <c r="M31" s="19" t="str">
        <f aca="false">IF(L31="Tidak","Invalid",IF(OR(I31="Positif",J31="Positif"),"Positif 16/18",IF(K31="Positif","Positif lain","Negatif")))</f>
        <v>Negatif</v>
      </c>
      <c r="N31" s="24" t="str">
        <f aca="false">IF(AND(L31="Ya",COUNT(D31:G31)&gt;0),MIN(D31:G31)-H31,"")</f>
        <v/>
      </c>
      <c r="O31" s="25" t="n">
        <f aca="false">INT('2 Mock NUSA'!J30)</f>
        <v>46300</v>
      </c>
      <c r="P31" s="19" t="s">
        <v>768</v>
      </c>
    </row>
    <row r="32" customFormat="false" ht="15" hidden="false" customHeight="true" outlineLevel="0" collapsed="false">
      <c r="A32" s="23" t="s">
        <v>34</v>
      </c>
      <c r="B32" s="19" t="str">
        <f aca="false">'2 Mock NUSA'!B31</f>
        <v>A-7129</v>
      </c>
      <c r="C32" s="19" t="str">
        <f aca="false">'2 Mock NUSA'!A31</f>
        <v>P-0030</v>
      </c>
      <c r="D32" s="19" t="str">
        <f aca="false">IF(ISNUMBER('2 Mock NUSA'!O31),'2 Mock NUSA'!O31,"")</f>
        <v/>
      </c>
      <c r="E32" s="19" t="str">
        <f aca="false">IF(ISNUMBER('2 Mock NUSA'!P31),'2 Mock NUSA'!P31,"")</f>
        <v/>
      </c>
      <c r="F32" s="19" t="str">
        <f aca="false">IF(ISNUMBER('2 Mock NUSA'!Q31),'2 Mock NUSA'!Q31,"")</f>
        <v/>
      </c>
      <c r="G32" s="19" t="str">
        <f aca="false">IF(ISNUMBER('2 Mock NUSA'!R31),'2 Mock NUSA'!R31,"")</f>
        <v/>
      </c>
      <c r="H32" s="19" t="n">
        <f aca="false">IF(ISNUMBER('2 Mock NUSA'!S31),'2 Mock NUSA'!S31,"")</f>
        <v>27.4</v>
      </c>
      <c r="I32" s="19" t="str">
        <f aca="false">IF(L32="Tidak","Invalid",IF(AND(ISNUMBER(D32),D32&lt;'Baca Dulu'!$B$13),"Positif","Negatif"))</f>
        <v>Negatif</v>
      </c>
      <c r="J32" s="19" t="str">
        <f aca="false">IF(L32="Tidak","Invalid",IF(AND(ISNUMBER(E32),E32&lt;'Baca Dulu'!$B$13),"Positif","Negatif"))</f>
        <v>Negatif</v>
      </c>
      <c r="K32" s="19" t="str">
        <f aca="false">IF(L32="Tidak","Invalid",IF(OR(AND(ISNUMBER(F32),F32&lt;'Baca Dulu'!$B$13),AND(ISNUMBER(G32),G32&lt;'Baca Dulu'!$B$13)),"Positif","Negatif"))</f>
        <v>Negatif</v>
      </c>
      <c r="L32" s="19" t="str">
        <f aca="false">IF(AND(ISNUMBER(H32),H32&lt;='Baca Dulu'!$B$14),"Ya","Tidak")</f>
        <v>Ya</v>
      </c>
      <c r="M32" s="19" t="str">
        <f aca="false">IF(L32="Tidak","Invalid",IF(OR(I32="Positif",J32="Positif"),"Positif 16/18",IF(K32="Positif","Positif lain","Negatif")))</f>
        <v>Negatif</v>
      </c>
      <c r="N32" s="24" t="str">
        <f aca="false">IF(AND(L32="Ya",COUNT(D32:G32)&gt;0),MIN(D32:G32)-H32,"")</f>
        <v/>
      </c>
      <c r="O32" s="25" t="n">
        <f aca="false">INT('2 Mock NUSA'!J31)</f>
        <v>46309</v>
      </c>
      <c r="P32" s="19" t="s">
        <v>768</v>
      </c>
    </row>
    <row r="33" customFormat="false" ht="15" hidden="false" customHeight="true" outlineLevel="0" collapsed="false">
      <c r="A33" s="23" t="s">
        <v>34</v>
      </c>
      <c r="B33" s="19" t="str">
        <f aca="false">'2 Mock NUSA'!B32</f>
        <v>A-7130</v>
      </c>
      <c r="C33" s="19" t="str">
        <f aca="false">'2 Mock NUSA'!A32</f>
        <v>P-0031</v>
      </c>
      <c r="D33" s="19" t="str">
        <f aca="false">IF(ISNUMBER('2 Mock NUSA'!O32),'2 Mock NUSA'!O32,"")</f>
        <v/>
      </c>
      <c r="E33" s="19" t="str">
        <f aca="false">IF(ISNUMBER('2 Mock NUSA'!P32),'2 Mock NUSA'!P32,"")</f>
        <v/>
      </c>
      <c r="F33" s="19" t="str">
        <f aca="false">IF(ISNUMBER('2 Mock NUSA'!Q32),'2 Mock NUSA'!Q32,"")</f>
        <v/>
      </c>
      <c r="G33" s="19" t="str">
        <f aca="false">IF(ISNUMBER('2 Mock NUSA'!R32),'2 Mock NUSA'!R32,"")</f>
        <v/>
      </c>
      <c r="H33" s="19" t="n">
        <f aca="false">IF(ISNUMBER('2 Mock NUSA'!S32),'2 Mock NUSA'!S32,"")</f>
        <v>22.1</v>
      </c>
      <c r="I33" s="19" t="str">
        <f aca="false">IF(L33="Tidak","Invalid",IF(AND(ISNUMBER(D33),D33&lt;'Baca Dulu'!$B$13),"Positif","Negatif"))</f>
        <v>Negatif</v>
      </c>
      <c r="J33" s="19" t="str">
        <f aca="false">IF(L33="Tidak","Invalid",IF(AND(ISNUMBER(E33),E33&lt;'Baca Dulu'!$B$13),"Positif","Negatif"))</f>
        <v>Negatif</v>
      </c>
      <c r="K33" s="19" t="str">
        <f aca="false">IF(L33="Tidak","Invalid",IF(OR(AND(ISNUMBER(F33),F33&lt;'Baca Dulu'!$B$13),AND(ISNUMBER(G33),G33&lt;'Baca Dulu'!$B$13)),"Positif","Negatif"))</f>
        <v>Negatif</v>
      </c>
      <c r="L33" s="19" t="str">
        <f aca="false">IF(AND(ISNUMBER(H33),H33&lt;='Baca Dulu'!$B$14),"Ya","Tidak")</f>
        <v>Ya</v>
      </c>
      <c r="M33" s="19" t="str">
        <f aca="false">IF(L33="Tidak","Invalid",IF(OR(I33="Positif",J33="Positif"),"Positif 16/18",IF(K33="Positif","Positif lain","Negatif")))</f>
        <v>Negatif</v>
      </c>
      <c r="N33" s="24" t="str">
        <f aca="false">IF(AND(L33="Ya",COUNT(D33:G33)&gt;0),MIN(D33:G33)-H33,"")</f>
        <v/>
      </c>
      <c r="O33" s="25" t="n">
        <f aca="false">INT('2 Mock NUSA'!J32)</f>
        <v>46301</v>
      </c>
      <c r="P33" s="19" t="s">
        <v>768</v>
      </c>
    </row>
    <row r="34" customFormat="false" ht="15" hidden="false" customHeight="true" outlineLevel="0" collapsed="false">
      <c r="A34" s="23" t="s">
        <v>34</v>
      </c>
      <c r="B34" s="19" t="str">
        <f aca="false">'2 Mock NUSA'!B33</f>
        <v>A-7131</v>
      </c>
      <c r="C34" s="19" t="str">
        <f aca="false">'2 Mock NUSA'!A33</f>
        <v>P-0032</v>
      </c>
      <c r="D34" s="19" t="str">
        <f aca="false">IF(ISNUMBER('2 Mock NUSA'!O33),'2 Mock NUSA'!O33,"")</f>
        <v/>
      </c>
      <c r="E34" s="19" t="str">
        <f aca="false">IF(ISNUMBER('2 Mock NUSA'!P33),'2 Mock NUSA'!P33,"")</f>
        <v/>
      </c>
      <c r="F34" s="19" t="str">
        <f aca="false">IF(ISNUMBER('2 Mock NUSA'!Q33),'2 Mock NUSA'!Q33,"")</f>
        <v/>
      </c>
      <c r="G34" s="19" t="str">
        <f aca="false">IF(ISNUMBER('2 Mock NUSA'!R33),'2 Mock NUSA'!R33,"")</f>
        <v/>
      </c>
      <c r="H34" s="19" t="n">
        <f aca="false">IF(ISNUMBER('2 Mock NUSA'!S33),'2 Mock NUSA'!S33,"")</f>
        <v>25.3</v>
      </c>
      <c r="I34" s="19" t="str">
        <f aca="false">IF(L34="Tidak","Invalid",IF(AND(ISNUMBER(D34),D34&lt;'Baca Dulu'!$B$13),"Positif","Negatif"))</f>
        <v>Negatif</v>
      </c>
      <c r="J34" s="19" t="str">
        <f aca="false">IF(L34="Tidak","Invalid",IF(AND(ISNUMBER(E34),E34&lt;'Baca Dulu'!$B$13),"Positif","Negatif"))</f>
        <v>Negatif</v>
      </c>
      <c r="K34" s="19" t="str">
        <f aca="false">IF(L34="Tidak","Invalid",IF(OR(AND(ISNUMBER(F34),F34&lt;'Baca Dulu'!$B$13),AND(ISNUMBER(G34),G34&lt;'Baca Dulu'!$B$13)),"Positif","Negatif"))</f>
        <v>Negatif</v>
      </c>
      <c r="L34" s="19" t="str">
        <f aca="false">IF(AND(ISNUMBER(H34),H34&lt;='Baca Dulu'!$B$14),"Ya","Tidak")</f>
        <v>Ya</v>
      </c>
      <c r="M34" s="19" t="str">
        <f aca="false">IF(L34="Tidak","Invalid",IF(OR(I34="Positif",J34="Positif"),"Positif 16/18",IF(K34="Positif","Positif lain","Negatif")))</f>
        <v>Negatif</v>
      </c>
      <c r="N34" s="24" t="str">
        <f aca="false">IF(AND(L34="Ya",COUNT(D34:G34)&gt;0),MIN(D34:G34)-H34,"")</f>
        <v/>
      </c>
      <c r="O34" s="25" t="n">
        <f aca="false">INT('2 Mock NUSA'!J33)</f>
        <v>46303</v>
      </c>
      <c r="P34" s="19" t="s">
        <v>768</v>
      </c>
    </row>
    <row r="35" customFormat="false" ht="15" hidden="false" customHeight="true" outlineLevel="0" collapsed="false">
      <c r="A35" s="23" t="s">
        <v>34</v>
      </c>
      <c r="B35" s="19" t="str">
        <f aca="false">'2 Mock NUSA'!B34</f>
        <v>A-7132</v>
      </c>
      <c r="C35" s="19" t="str">
        <f aca="false">'2 Mock NUSA'!A34</f>
        <v>P-0033</v>
      </c>
      <c r="D35" s="19" t="str">
        <f aca="false">IF(ISNUMBER('2 Mock NUSA'!O34),'2 Mock NUSA'!O34,"")</f>
        <v/>
      </c>
      <c r="E35" s="19" t="str">
        <f aca="false">IF(ISNUMBER('2 Mock NUSA'!P34),'2 Mock NUSA'!P34,"")</f>
        <v/>
      </c>
      <c r="F35" s="19" t="str">
        <f aca="false">IF(ISNUMBER('2 Mock NUSA'!Q34),'2 Mock NUSA'!Q34,"")</f>
        <v/>
      </c>
      <c r="G35" s="19" t="str">
        <f aca="false">IF(ISNUMBER('2 Mock NUSA'!R34),'2 Mock NUSA'!R34,"")</f>
        <v/>
      </c>
      <c r="H35" s="19" t="n">
        <f aca="false">IF(ISNUMBER('2 Mock NUSA'!S34),'2 Mock NUSA'!S34,"")</f>
        <v>27.5</v>
      </c>
      <c r="I35" s="19" t="str">
        <f aca="false">IF(L35="Tidak","Invalid",IF(AND(ISNUMBER(D35),D35&lt;'Baca Dulu'!$B$13),"Positif","Negatif"))</f>
        <v>Negatif</v>
      </c>
      <c r="J35" s="19" t="str">
        <f aca="false">IF(L35="Tidak","Invalid",IF(AND(ISNUMBER(E35),E35&lt;'Baca Dulu'!$B$13),"Positif","Negatif"))</f>
        <v>Negatif</v>
      </c>
      <c r="K35" s="19" t="str">
        <f aca="false">IF(L35="Tidak","Invalid",IF(OR(AND(ISNUMBER(F35),F35&lt;'Baca Dulu'!$B$13),AND(ISNUMBER(G35),G35&lt;'Baca Dulu'!$B$13)),"Positif","Negatif"))</f>
        <v>Negatif</v>
      </c>
      <c r="L35" s="19" t="str">
        <f aca="false">IF(AND(ISNUMBER(H35),H35&lt;='Baca Dulu'!$B$14),"Ya","Tidak")</f>
        <v>Ya</v>
      </c>
      <c r="M35" s="19" t="str">
        <f aca="false">IF(L35="Tidak","Invalid",IF(OR(I35="Positif",J35="Positif"),"Positif 16/18",IF(K35="Positif","Positif lain","Negatif")))</f>
        <v>Negatif</v>
      </c>
      <c r="N35" s="24" t="str">
        <f aca="false">IF(AND(L35="Ya",COUNT(D35:G35)&gt;0),MIN(D35:G35)-H35,"")</f>
        <v/>
      </c>
      <c r="O35" s="25" t="n">
        <f aca="false">INT('2 Mock NUSA'!J34)</f>
        <v>46306</v>
      </c>
      <c r="P35" s="19" t="s">
        <v>768</v>
      </c>
    </row>
    <row r="36" customFormat="false" ht="15" hidden="false" customHeight="true" outlineLevel="0" collapsed="false">
      <c r="A36" s="23" t="s">
        <v>34</v>
      </c>
      <c r="B36" s="19" t="str">
        <f aca="false">'2 Mock NUSA'!B35</f>
        <v>A-7133</v>
      </c>
      <c r="C36" s="19" t="str">
        <f aca="false">'2 Mock NUSA'!A35</f>
        <v>P-0034</v>
      </c>
      <c r="D36" s="19" t="str">
        <f aca="false">IF(ISNUMBER('2 Mock NUSA'!O35),'2 Mock NUSA'!O35,"")</f>
        <v/>
      </c>
      <c r="E36" s="19" t="str">
        <f aca="false">IF(ISNUMBER('2 Mock NUSA'!P35),'2 Mock NUSA'!P35,"")</f>
        <v/>
      </c>
      <c r="F36" s="19" t="str">
        <f aca="false">IF(ISNUMBER('2 Mock NUSA'!Q35),'2 Mock NUSA'!Q35,"")</f>
        <v/>
      </c>
      <c r="G36" s="19" t="str">
        <f aca="false">IF(ISNUMBER('2 Mock NUSA'!R35),'2 Mock NUSA'!R35,"")</f>
        <v/>
      </c>
      <c r="H36" s="19" t="n">
        <f aca="false">IF(ISNUMBER('2 Mock NUSA'!S35),'2 Mock NUSA'!S35,"")</f>
        <v>30.1</v>
      </c>
      <c r="I36" s="19" t="str">
        <f aca="false">IF(L36="Tidak","Invalid",IF(AND(ISNUMBER(D36),D36&lt;'Baca Dulu'!$B$13),"Positif","Negatif"))</f>
        <v>Negatif</v>
      </c>
      <c r="J36" s="19" t="str">
        <f aca="false">IF(L36="Tidak","Invalid",IF(AND(ISNUMBER(E36),E36&lt;'Baca Dulu'!$B$13),"Positif","Negatif"))</f>
        <v>Negatif</v>
      </c>
      <c r="K36" s="19" t="str">
        <f aca="false">IF(L36="Tidak","Invalid",IF(OR(AND(ISNUMBER(F36),F36&lt;'Baca Dulu'!$B$13),AND(ISNUMBER(G36),G36&lt;'Baca Dulu'!$B$13)),"Positif","Negatif"))</f>
        <v>Negatif</v>
      </c>
      <c r="L36" s="19" t="str">
        <f aca="false">IF(AND(ISNUMBER(H36),H36&lt;='Baca Dulu'!$B$14),"Ya","Tidak")</f>
        <v>Ya</v>
      </c>
      <c r="M36" s="19" t="str">
        <f aca="false">IF(L36="Tidak","Invalid",IF(OR(I36="Positif",J36="Positif"),"Positif 16/18",IF(K36="Positif","Positif lain","Negatif")))</f>
        <v>Negatif</v>
      </c>
      <c r="N36" s="24" t="str">
        <f aca="false">IF(AND(L36="Ya",COUNT(D36:G36)&gt;0),MIN(D36:G36)-H36,"")</f>
        <v/>
      </c>
      <c r="O36" s="25" t="n">
        <f aca="false">INT('2 Mock NUSA'!J35)</f>
        <v>46309</v>
      </c>
      <c r="P36" s="19" t="s">
        <v>768</v>
      </c>
    </row>
    <row r="37" customFormat="false" ht="15" hidden="false" customHeight="true" outlineLevel="0" collapsed="false">
      <c r="A37" s="23" t="s">
        <v>34</v>
      </c>
      <c r="B37" s="19" t="str">
        <f aca="false">'2 Mock NUSA'!B36</f>
        <v>A-7134</v>
      </c>
      <c r="C37" s="19" t="str">
        <f aca="false">'2 Mock NUSA'!A36</f>
        <v>P-0035</v>
      </c>
      <c r="D37" s="19" t="str">
        <f aca="false">IF(ISNUMBER('2 Mock NUSA'!O36),'2 Mock NUSA'!O36,"")</f>
        <v/>
      </c>
      <c r="E37" s="19" t="n">
        <f aca="false">IF(ISNUMBER('2 Mock NUSA'!P36),'2 Mock NUSA'!P36,"")</f>
        <v>30.4</v>
      </c>
      <c r="F37" s="19" t="str">
        <f aca="false">IF(ISNUMBER('2 Mock NUSA'!Q36),'2 Mock NUSA'!Q36,"")</f>
        <v/>
      </c>
      <c r="G37" s="19" t="str">
        <f aca="false">IF(ISNUMBER('2 Mock NUSA'!R36),'2 Mock NUSA'!R36,"")</f>
        <v/>
      </c>
      <c r="H37" s="19" t="n">
        <f aca="false">IF(ISNUMBER('2 Mock NUSA'!S36),'2 Mock NUSA'!S36,"")</f>
        <v>29.9</v>
      </c>
      <c r="I37" s="19" t="str">
        <f aca="false">IF(L37="Tidak","Invalid",IF(AND(ISNUMBER(D37),D37&lt;'Baca Dulu'!$B$13),"Positif","Negatif"))</f>
        <v>Negatif</v>
      </c>
      <c r="J37" s="19" t="str">
        <f aca="false">IF(L37="Tidak","Invalid",IF(AND(ISNUMBER(E37),E37&lt;'Baca Dulu'!$B$13),"Positif","Negatif"))</f>
        <v>Positif</v>
      </c>
      <c r="K37" s="19" t="str">
        <f aca="false">IF(L37="Tidak","Invalid",IF(OR(AND(ISNUMBER(F37),F37&lt;'Baca Dulu'!$B$13),AND(ISNUMBER(G37),G37&lt;'Baca Dulu'!$B$13)),"Positif","Negatif"))</f>
        <v>Negatif</v>
      </c>
      <c r="L37" s="19" t="str">
        <f aca="false">IF(AND(ISNUMBER(H37),H37&lt;='Baca Dulu'!$B$14),"Ya","Tidak")</f>
        <v>Ya</v>
      </c>
      <c r="M37" s="19" t="str">
        <f aca="false">IF(L37="Tidak","Invalid",IF(OR(I37="Positif",J37="Positif"),"Positif 16/18",IF(K37="Positif","Positif lain","Negatif")))</f>
        <v>Positif 16/18</v>
      </c>
      <c r="N37" s="24" t="n">
        <f aca="false">IF(AND(L37="Ya",COUNT(D37:G37)&gt;0),MIN(D37:G37)-H37,"")</f>
        <v>0.5</v>
      </c>
      <c r="O37" s="25" t="n">
        <f aca="false">INT('2 Mock NUSA'!J36)</f>
        <v>46309</v>
      </c>
      <c r="P37" s="19" t="s">
        <v>768</v>
      </c>
    </row>
    <row r="38" customFormat="false" ht="15" hidden="false" customHeight="true" outlineLevel="0" collapsed="false">
      <c r="A38" s="23" t="s">
        <v>34</v>
      </c>
      <c r="B38" s="19" t="str">
        <f aca="false">'2 Mock NUSA'!B37</f>
        <v>A-7135</v>
      </c>
      <c r="C38" s="19" t="str">
        <f aca="false">'2 Mock NUSA'!A37</f>
        <v>P-0036</v>
      </c>
      <c r="D38" s="19" t="str">
        <f aca="false">IF(ISNUMBER('2 Mock NUSA'!O37),'2 Mock NUSA'!O37,"")</f>
        <v/>
      </c>
      <c r="E38" s="19" t="str">
        <f aca="false">IF(ISNUMBER('2 Mock NUSA'!P37),'2 Mock NUSA'!P37,"")</f>
        <v/>
      </c>
      <c r="F38" s="19" t="str">
        <f aca="false">IF(ISNUMBER('2 Mock NUSA'!Q37),'2 Mock NUSA'!Q37,"")</f>
        <v/>
      </c>
      <c r="G38" s="19" t="str">
        <f aca="false">IF(ISNUMBER('2 Mock NUSA'!R37),'2 Mock NUSA'!R37,"")</f>
        <v/>
      </c>
      <c r="H38" s="19" t="n">
        <f aca="false">IF(ISNUMBER('2 Mock NUSA'!S37),'2 Mock NUSA'!S37,"")</f>
        <v>23.8</v>
      </c>
      <c r="I38" s="19" t="str">
        <f aca="false">IF(L38="Tidak","Invalid",IF(AND(ISNUMBER(D38),D38&lt;'Baca Dulu'!$B$13),"Positif","Negatif"))</f>
        <v>Negatif</v>
      </c>
      <c r="J38" s="19" t="str">
        <f aca="false">IF(L38="Tidak","Invalid",IF(AND(ISNUMBER(E38),E38&lt;'Baca Dulu'!$B$13),"Positif","Negatif"))</f>
        <v>Negatif</v>
      </c>
      <c r="K38" s="19" t="str">
        <f aca="false">IF(L38="Tidak","Invalid",IF(OR(AND(ISNUMBER(F38),F38&lt;'Baca Dulu'!$B$13),AND(ISNUMBER(G38),G38&lt;'Baca Dulu'!$B$13)),"Positif","Negatif"))</f>
        <v>Negatif</v>
      </c>
      <c r="L38" s="19" t="str">
        <f aca="false">IF(AND(ISNUMBER(H38),H38&lt;='Baca Dulu'!$B$14),"Ya","Tidak")</f>
        <v>Ya</v>
      </c>
      <c r="M38" s="19" t="str">
        <f aca="false">IF(L38="Tidak","Invalid",IF(OR(I38="Positif",J38="Positif"),"Positif 16/18",IF(K38="Positif","Positif lain","Negatif")))</f>
        <v>Negatif</v>
      </c>
      <c r="N38" s="24" t="str">
        <f aca="false">IF(AND(L38="Ya",COUNT(D38:G38)&gt;0),MIN(D38:G38)-H38,"")</f>
        <v/>
      </c>
      <c r="O38" s="25" t="n">
        <f aca="false">INT('2 Mock NUSA'!J37)</f>
        <v>46308</v>
      </c>
      <c r="P38" s="19" t="s">
        <v>768</v>
      </c>
    </row>
    <row r="39" customFormat="false" ht="15" hidden="false" customHeight="true" outlineLevel="0" collapsed="false">
      <c r="A39" s="23" t="s">
        <v>34</v>
      </c>
      <c r="B39" s="19" t="str">
        <f aca="false">'2 Mock NUSA'!B38</f>
        <v>A-7136</v>
      </c>
      <c r="C39" s="19" t="str">
        <f aca="false">'2 Mock NUSA'!A38</f>
        <v>P-0037</v>
      </c>
      <c r="D39" s="19" t="str">
        <f aca="false">IF(ISNUMBER('2 Mock NUSA'!O38),'2 Mock NUSA'!O38,"")</f>
        <v/>
      </c>
      <c r="E39" s="19" t="str">
        <f aca="false">IF(ISNUMBER('2 Mock NUSA'!P38),'2 Mock NUSA'!P38,"")</f>
        <v/>
      </c>
      <c r="F39" s="19" t="str">
        <f aca="false">IF(ISNUMBER('2 Mock NUSA'!Q38),'2 Mock NUSA'!Q38,"")</f>
        <v/>
      </c>
      <c r="G39" s="19" t="str">
        <f aca="false">IF(ISNUMBER('2 Mock NUSA'!R38),'2 Mock NUSA'!R38,"")</f>
        <v/>
      </c>
      <c r="H39" s="19" t="n">
        <f aca="false">IF(ISNUMBER('2 Mock NUSA'!S38),'2 Mock NUSA'!S38,"")</f>
        <v>36.2</v>
      </c>
      <c r="I39" s="19" t="str">
        <f aca="false">IF(L39="Tidak","Invalid",IF(AND(ISNUMBER(D39),D39&lt;'Baca Dulu'!$B$13),"Positif","Negatif"))</f>
        <v>Invalid</v>
      </c>
      <c r="J39" s="19" t="str">
        <f aca="false">IF(L39="Tidak","Invalid",IF(AND(ISNUMBER(E39),E39&lt;'Baca Dulu'!$B$13),"Positif","Negatif"))</f>
        <v>Invalid</v>
      </c>
      <c r="K39" s="19" t="str">
        <f aca="false">IF(L39="Tidak","Invalid",IF(OR(AND(ISNUMBER(F39),F39&lt;'Baca Dulu'!$B$13),AND(ISNUMBER(G39),G39&lt;'Baca Dulu'!$B$13)),"Positif","Negatif"))</f>
        <v>Invalid</v>
      </c>
      <c r="L39" s="19" t="str">
        <f aca="false">IF(AND(ISNUMBER(H39),H39&lt;='Baca Dulu'!$B$14),"Ya","Tidak")</f>
        <v>Tidak</v>
      </c>
      <c r="M39" s="19" t="str">
        <f aca="false">IF(L39="Tidak","Invalid",IF(OR(I39="Positif",J39="Positif"),"Positif 16/18",IF(K39="Positif","Positif lain","Negatif")))</f>
        <v>Invalid</v>
      </c>
      <c r="N39" s="24" t="str">
        <f aca="false">IF(AND(L39="Ya",COUNT(D39:G39)&gt;0),MIN(D39:G39)-H39,"")</f>
        <v/>
      </c>
      <c r="O39" s="25" t="n">
        <f aca="false">INT('2 Mock NUSA'!J38)</f>
        <v>46303</v>
      </c>
      <c r="P39" s="19" t="s">
        <v>768</v>
      </c>
    </row>
    <row r="40" customFormat="false" ht="15" hidden="false" customHeight="true" outlineLevel="0" collapsed="false">
      <c r="A40" s="23" t="s">
        <v>34</v>
      </c>
      <c r="B40" s="19" t="str">
        <f aca="false">'2 Mock NUSA'!B39</f>
        <v>A-7137</v>
      </c>
      <c r="C40" s="19" t="str">
        <f aca="false">'2 Mock NUSA'!A39</f>
        <v>P-0038</v>
      </c>
      <c r="D40" s="19" t="str">
        <f aca="false">IF(ISNUMBER('2 Mock NUSA'!O39),'2 Mock NUSA'!O39,"")</f>
        <v/>
      </c>
      <c r="E40" s="19" t="str">
        <f aca="false">IF(ISNUMBER('2 Mock NUSA'!P39),'2 Mock NUSA'!P39,"")</f>
        <v/>
      </c>
      <c r="F40" s="19" t="str">
        <f aca="false">IF(ISNUMBER('2 Mock NUSA'!Q39),'2 Mock NUSA'!Q39,"")</f>
        <v/>
      </c>
      <c r="G40" s="19" t="str">
        <f aca="false">IF(ISNUMBER('2 Mock NUSA'!R39),'2 Mock NUSA'!R39,"")</f>
        <v/>
      </c>
      <c r="H40" s="19" t="n">
        <f aca="false">IF(ISNUMBER('2 Mock NUSA'!S39),'2 Mock NUSA'!S39,"")</f>
        <v>27.6</v>
      </c>
      <c r="I40" s="19" t="str">
        <f aca="false">IF(L40="Tidak","Invalid",IF(AND(ISNUMBER(D40),D40&lt;'Baca Dulu'!$B$13),"Positif","Negatif"))</f>
        <v>Negatif</v>
      </c>
      <c r="J40" s="19" t="str">
        <f aca="false">IF(L40="Tidak","Invalid",IF(AND(ISNUMBER(E40),E40&lt;'Baca Dulu'!$B$13),"Positif","Negatif"))</f>
        <v>Negatif</v>
      </c>
      <c r="K40" s="19" t="str">
        <f aca="false">IF(L40="Tidak","Invalid",IF(OR(AND(ISNUMBER(F40),F40&lt;'Baca Dulu'!$B$13),AND(ISNUMBER(G40),G40&lt;'Baca Dulu'!$B$13)),"Positif","Negatif"))</f>
        <v>Negatif</v>
      </c>
      <c r="L40" s="19" t="str">
        <f aca="false">IF(AND(ISNUMBER(H40),H40&lt;='Baca Dulu'!$B$14),"Ya","Tidak")</f>
        <v>Ya</v>
      </c>
      <c r="M40" s="19" t="str">
        <f aca="false">IF(L40="Tidak","Invalid",IF(OR(I40="Positif",J40="Positif"),"Positif 16/18",IF(K40="Positif","Positif lain","Negatif")))</f>
        <v>Negatif</v>
      </c>
      <c r="N40" s="24" t="str">
        <f aca="false">IF(AND(L40="Ya",COUNT(D40:G40)&gt;0),MIN(D40:G40)-H40,"")</f>
        <v/>
      </c>
      <c r="O40" s="25" t="n">
        <f aca="false">INT('2 Mock NUSA'!J39)</f>
        <v>46301</v>
      </c>
      <c r="P40" s="19" t="s">
        <v>768</v>
      </c>
    </row>
    <row r="41" customFormat="false" ht="15" hidden="false" customHeight="true" outlineLevel="0" collapsed="false">
      <c r="A41" s="23" t="s">
        <v>34</v>
      </c>
      <c r="B41" s="19" t="str">
        <f aca="false">'2 Mock NUSA'!B40</f>
        <v>A-7138</v>
      </c>
      <c r="C41" s="19" t="str">
        <f aca="false">'2 Mock NUSA'!A40</f>
        <v>P-0039</v>
      </c>
      <c r="D41" s="19" t="str">
        <f aca="false">IF(ISNUMBER('2 Mock NUSA'!O40),'2 Mock NUSA'!O40,"")</f>
        <v/>
      </c>
      <c r="E41" s="19" t="str">
        <f aca="false">IF(ISNUMBER('2 Mock NUSA'!P40),'2 Mock NUSA'!P40,"")</f>
        <v/>
      </c>
      <c r="F41" s="19" t="str">
        <f aca="false">IF(ISNUMBER('2 Mock NUSA'!Q40),'2 Mock NUSA'!Q40,"")</f>
        <v/>
      </c>
      <c r="G41" s="19" t="str">
        <f aca="false">IF(ISNUMBER('2 Mock NUSA'!R40),'2 Mock NUSA'!R40,"")</f>
        <v/>
      </c>
      <c r="H41" s="19" t="n">
        <f aca="false">IF(ISNUMBER('2 Mock NUSA'!S40),'2 Mock NUSA'!S40,"")</f>
        <v>23.8</v>
      </c>
      <c r="I41" s="19" t="str">
        <f aca="false">IF(L41="Tidak","Invalid",IF(AND(ISNUMBER(D41),D41&lt;'Baca Dulu'!$B$13),"Positif","Negatif"))</f>
        <v>Negatif</v>
      </c>
      <c r="J41" s="19" t="str">
        <f aca="false">IF(L41="Tidak","Invalid",IF(AND(ISNUMBER(E41),E41&lt;'Baca Dulu'!$B$13),"Positif","Negatif"))</f>
        <v>Negatif</v>
      </c>
      <c r="K41" s="19" t="str">
        <f aca="false">IF(L41="Tidak","Invalid",IF(OR(AND(ISNUMBER(F41),F41&lt;'Baca Dulu'!$B$13),AND(ISNUMBER(G41),G41&lt;'Baca Dulu'!$B$13)),"Positif","Negatif"))</f>
        <v>Negatif</v>
      </c>
      <c r="L41" s="19" t="str">
        <f aca="false">IF(AND(ISNUMBER(H41),H41&lt;='Baca Dulu'!$B$14),"Ya","Tidak")</f>
        <v>Ya</v>
      </c>
      <c r="M41" s="19" t="str">
        <f aca="false">IF(L41="Tidak","Invalid",IF(OR(I41="Positif",J41="Positif"),"Positif 16/18",IF(K41="Positif","Positif lain","Negatif")))</f>
        <v>Negatif</v>
      </c>
      <c r="N41" s="24" t="str">
        <f aca="false">IF(AND(L41="Ya",COUNT(D41:G41)&gt;0),MIN(D41:G41)-H41,"")</f>
        <v/>
      </c>
      <c r="O41" s="25" t="n">
        <f aca="false">INT('2 Mock NUSA'!J40)</f>
        <v>46300</v>
      </c>
      <c r="P41" s="19" t="s">
        <v>768</v>
      </c>
    </row>
    <row r="42" customFormat="false" ht="15" hidden="false" customHeight="true" outlineLevel="0" collapsed="false">
      <c r="A42" s="23" t="s">
        <v>34</v>
      </c>
      <c r="B42" s="19" t="str">
        <f aca="false">'2 Mock NUSA'!B41</f>
        <v>A-7139</v>
      </c>
      <c r="C42" s="19" t="str">
        <f aca="false">'2 Mock NUSA'!A41</f>
        <v>P-0040</v>
      </c>
      <c r="D42" s="19" t="str">
        <f aca="false">IF(ISNUMBER('2 Mock NUSA'!O41),'2 Mock NUSA'!O41,"")</f>
        <v/>
      </c>
      <c r="E42" s="19" t="str">
        <f aca="false">IF(ISNUMBER('2 Mock NUSA'!P41),'2 Mock NUSA'!P41,"")</f>
        <v/>
      </c>
      <c r="F42" s="19" t="str">
        <f aca="false">IF(ISNUMBER('2 Mock NUSA'!Q41),'2 Mock NUSA'!Q41,"")</f>
        <v/>
      </c>
      <c r="G42" s="19" t="str">
        <f aca="false">IF(ISNUMBER('2 Mock NUSA'!R41),'2 Mock NUSA'!R41,"")</f>
        <v/>
      </c>
      <c r="H42" s="19" t="n">
        <f aca="false">IF(ISNUMBER('2 Mock NUSA'!S41),'2 Mock NUSA'!S41,"")</f>
        <v>23.7</v>
      </c>
      <c r="I42" s="19" t="str">
        <f aca="false">IF(L42="Tidak","Invalid",IF(AND(ISNUMBER(D42),D42&lt;'Baca Dulu'!$B$13),"Positif","Negatif"))</f>
        <v>Negatif</v>
      </c>
      <c r="J42" s="19" t="str">
        <f aca="false">IF(L42="Tidak","Invalid",IF(AND(ISNUMBER(E42),E42&lt;'Baca Dulu'!$B$13),"Positif","Negatif"))</f>
        <v>Negatif</v>
      </c>
      <c r="K42" s="19" t="str">
        <f aca="false">IF(L42="Tidak","Invalid",IF(OR(AND(ISNUMBER(F42),F42&lt;'Baca Dulu'!$B$13),AND(ISNUMBER(G42),G42&lt;'Baca Dulu'!$B$13)),"Positif","Negatif"))</f>
        <v>Negatif</v>
      </c>
      <c r="L42" s="19" t="str">
        <f aca="false">IF(AND(ISNUMBER(H42),H42&lt;='Baca Dulu'!$B$14),"Ya","Tidak")</f>
        <v>Ya</v>
      </c>
      <c r="M42" s="19" t="str">
        <f aca="false">IF(L42="Tidak","Invalid",IF(OR(I42="Positif",J42="Positif"),"Positif 16/18",IF(K42="Positif","Positif lain","Negatif")))</f>
        <v>Negatif</v>
      </c>
      <c r="N42" s="24" t="str">
        <f aca="false">IF(AND(L42="Ya",COUNT(D42:G42)&gt;0),MIN(D42:G42)-H42,"")</f>
        <v/>
      </c>
      <c r="O42" s="25" t="n">
        <f aca="false">INT('2 Mock NUSA'!J41)</f>
        <v>46301</v>
      </c>
      <c r="P42" s="19" t="s">
        <v>768</v>
      </c>
    </row>
    <row r="43" customFormat="false" ht="15" hidden="false" customHeight="true" outlineLevel="0" collapsed="false">
      <c r="A43" s="23" t="s">
        <v>34</v>
      </c>
      <c r="B43" s="19" t="str">
        <f aca="false">'2 Mock NUSA'!B42</f>
        <v>A-7140</v>
      </c>
      <c r="C43" s="19" t="str">
        <f aca="false">'2 Mock NUSA'!A42</f>
        <v>P-0041</v>
      </c>
      <c r="D43" s="19" t="str">
        <f aca="false">IF(ISNUMBER('2 Mock NUSA'!O42),'2 Mock NUSA'!O42,"")</f>
        <v/>
      </c>
      <c r="E43" s="19" t="str">
        <f aca="false">IF(ISNUMBER('2 Mock NUSA'!P42),'2 Mock NUSA'!P42,"")</f>
        <v/>
      </c>
      <c r="F43" s="19" t="str">
        <f aca="false">IF(ISNUMBER('2 Mock NUSA'!Q42),'2 Mock NUSA'!Q42,"")</f>
        <v/>
      </c>
      <c r="G43" s="19" t="str">
        <f aca="false">IF(ISNUMBER('2 Mock NUSA'!R42),'2 Mock NUSA'!R42,"")</f>
        <v/>
      </c>
      <c r="H43" s="19" t="n">
        <f aca="false">IF(ISNUMBER('2 Mock NUSA'!S42),'2 Mock NUSA'!S42,"")</f>
        <v>26.5</v>
      </c>
      <c r="I43" s="19" t="str">
        <f aca="false">IF(L43="Tidak","Invalid",IF(AND(ISNUMBER(D43),D43&lt;'Baca Dulu'!$B$13),"Positif","Negatif"))</f>
        <v>Negatif</v>
      </c>
      <c r="J43" s="19" t="str">
        <f aca="false">IF(L43="Tidak","Invalid",IF(AND(ISNUMBER(E43),E43&lt;'Baca Dulu'!$B$13),"Positif","Negatif"))</f>
        <v>Negatif</v>
      </c>
      <c r="K43" s="19" t="str">
        <f aca="false">IF(L43="Tidak","Invalid",IF(OR(AND(ISNUMBER(F43),F43&lt;'Baca Dulu'!$B$13),AND(ISNUMBER(G43),G43&lt;'Baca Dulu'!$B$13)),"Positif","Negatif"))</f>
        <v>Negatif</v>
      </c>
      <c r="L43" s="19" t="str">
        <f aca="false">IF(AND(ISNUMBER(H43),H43&lt;='Baca Dulu'!$B$14),"Ya","Tidak")</f>
        <v>Ya</v>
      </c>
      <c r="M43" s="19" t="str">
        <f aca="false">IF(L43="Tidak","Invalid",IF(OR(I43="Positif",J43="Positif"),"Positif 16/18",IF(K43="Positif","Positif lain","Negatif")))</f>
        <v>Negatif</v>
      </c>
      <c r="N43" s="24" t="str">
        <f aca="false">IF(AND(L43="Ya",COUNT(D43:G43)&gt;0),MIN(D43:G43)-H43,"")</f>
        <v/>
      </c>
      <c r="O43" s="25" t="n">
        <f aca="false">INT('2 Mock NUSA'!J42)</f>
        <v>46304</v>
      </c>
      <c r="P43" s="19" t="s">
        <v>768</v>
      </c>
    </row>
    <row r="44" customFormat="false" ht="15" hidden="false" customHeight="true" outlineLevel="0" collapsed="false">
      <c r="A44" s="23" t="s">
        <v>34</v>
      </c>
      <c r="B44" s="19" t="str">
        <f aca="false">'2 Mock NUSA'!B43</f>
        <v>A-7141</v>
      </c>
      <c r="C44" s="19" t="str">
        <f aca="false">'2 Mock NUSA'!A43</f>
        <v>P-0042</v>
      </c>
      <c r="D44" s="19" t="str">
        <f aca="false">IF(ISNUMBER('2 Mock NUSA'!O43),'2 Mock NUSA'!O43,"")</f>
        <v/>
      </c>
      <c r="E44" s="19" t="str">
        <f aca="false">IF(ISNUMBER('2 Mock NUSA'!P43),'2 Mock NUSA'!P43,"")</f>
        <v/>
      </c>
      <c r="F44" s="19" t="str">
        <f aca="false">IF(ISNUMBER('2 Mock NUSA'!Q43),'2 Mock NUSA'!Q43,"")</f>
        <v/>
      </c>
      <c r="G44" s="19" t="str">
        <f aca="false">IF(ISNUMBER('2 Mock NUSA'!R43),'2 Mock NUSA'!R43,"")</f>
        <v/>
      </c>
      <c r="H44" s="19" t="n">
        <f aca="false">IF(ISNUMBER('2 Mock NUSA'!S43),'2 Mock NUSA'!S43,"")</f>
        <v>28.4</v>
      </c>
      <c r="I44" s="19" t="str">
        <f aca="false">IF(L44="Tidak","Invalid",IF(AND(ISNUMBER(D44),D44&lt;'Baca Dulu'!$B$13),"Positif","Negatif"))</f>
        <v>Negatif</v>
      </c>
      <c r="J44" s="19" t="str">
        <f aca="false">IF(L44="Tidak","Invalid",IF(AND(ISNUMBER(E44),E44&lt;'Baca Dulu'!$B$13),"Positif","Negatif"))</f>
        <v>Negatif</v>
      </c>
      <c r="K44" s="19" t="str">
        <f aca="false">IF(L44="Tidak","Invalid",IF(OR(AND(ISNUMBER(F44),F44&lt;'Baca Dulu'!$B$13),AND(ISNUMBER(G44),G44&lt;'Baca Dulu'!$B$13)),"Positif","Negatif"))</f>
        <v>Negatif</v>
      </c>
      <c r="L44" s="19" t="str">
        <f aca="false">IF(AND(ISNUMBER(H44),H44&lt;='Baca Dulu'!$B$14),"Ya","Tidak")</f>
        <v>Ya</v>
      </c>
      <c r="M44" s="19" t="str">
        <f aca="false">IF(L44="Tidak","Invalid",IF(OR(I44="Positif",J44="Positif"),"Positif 16/18",IF(K44="Positif","Positif lain","Negatif")))</f>
        <v>Negatif</v>
      </c>
      <c r="N44" s="24" t="str">
        <f aca="false">IF(AND(L44="Ya",COUNT(D44:G44)&gt;0),MIN(D44:G44)-H44,"")</f>
        <v/>
      </c>
      <c r="O44" s="25" t="n">
        <f aca="false">INT('2 Mock NUSA'!J43)</f>
        <v>46308</v>
      </c>
      <c r="P44" s="19" t="s">
        <v>768</v>
      </c>
    </row>
    <row r="45" customFormat="false" ht="15" hidden="false" customHeight="true" outlineLevel="0" collapsed="false">
      <c r="A45" s="23" t="s">
        <v>34</v>
      </c>
      <c r="B45" s="19" t="str">
        <f aca="false">'2 Mock NUSA'!B44</f>
        <v>A-7142</v>
      </c>
      <c r="C45" s="19" t="str">
        <f aca="false">'2 Mock NUSA'!A44</f>
        <v>P-0043</v>
      </c>
      <c r="D45" s="19" t="str">
        <f aca="false">IF(ISNUMBER('2 Mock NUSA'!O44),'2 Mock NUSA'!O44,"")</f>
        <v/>
      </c>
      <c r="E45" s="19" t="str">
        <f aca="false">IF(ISNUMBER('2 Mock NUSA'!P44),'2 Mock NUSA'!P44,"")</f>
        <v/>
      </c>
      <c r="F45" s="19" t="str">
        <f aca="false">IF(ISNUMBER('2 Mock NUSA'!Q44),'2 Mock NUSA'!Q44,"")</f>
        <v/>
      </c>
      <c r="G45" s="19" t="str">
        <f aca="false">IF(ISNUMBER('2 Mock NUSA'!R44),'2 Mock NUSA'!R44,"")</f>
        <v/>
      </c>
      <c r="H45" s="19" t="n">
        <f aca="false">IF(ISNUMBER('2 Mock NUSA'!S44),'2 Mock NUSA'!S44,"")</f>
        <v>23.2</v>
      </c>
      <c r="I45" s="19" t="str">
        <f aca="false">IF(L45="Tidak","Invalid",IF(AND(ISNUMBER(D45),D45&lt;'Baca Dulu'!$B$13),"Positif","Negatif"))</f>
        <v>Negatif</v>
      </c>
      <c r="J45" s="19" t="str">
        <f aca="false">IF(L45="Tidak","Invalid",IF(AND(ISNUMBER(E45),E45&lt;'Baca Dulu'!$B$13),"Positif","Negatif"))</f>
        <v>Negatif</v>
      </c>
      <c r="K45" s="19" t="str">
        <f aca="false">IF(L45="Tidak","Invalid",IF(OR(AND(ISNUMBER(F45),F45&lt;'Baca Dulu'!$B$13),AND(ISNUMBER(G45),G45&lt;'Baca Dulu'!$B$13)),"Positif","Negatif"))</f>
        <v>Negatif</v>
      </c>
      <c r="L45" s="19" t="str">
        <f aca="false">IF(AND(ISNUMBER(H45),H45&lt;='Baca Dulu'!$B$14),"Ya","Tidak")</f>
        <v>Ya</v>
      </c>
      <c r="M45" s="19" t="str">
        <f aca="false">IF(L45="Tidak","Invalid",IF(OR(I45="Positif",J45="Positif"),"Positif 16/18",IF(K45="Positif","Positif lain","Negatif")))</f>
        <v>Negatif</v>
      </c>
      <c r="N45" s="24" t="str">
        <f aca="false">IF(AND(L45="Ya",COUNT(D45:G45)&gt;0),MIN(D45:G45)-H45,"")</f>
        <v/>
      </c>
      <c r="O45" s="25" t="n">
        <f aca="false">INT('2 Mock NUSA'!J44)</f>
        <v>46309</v>
      </c>
      <c r="P45" s="19" t="s">
        <v>768</v>
      </c>
    </row>
    <row r="46" customFormat="false" ht="15" hidden="false" customHeight="true" outlineLevel="0" collapsed="false">
      <c r="A46" s="23" t="s">
        <v>34</v>
      </c>
      <c r="B46" s="19" t="str">
        <f aca="false">'2 Mock NUSA'!B45</f>
        <v>A-7143</v>
      </c>
      <c r="C46" s="19" t="str">
        <f aca="false">'2 Mock NUSA'!A45</f>
        <v>P-0044</v>
      </c>
      <c r="D46" s="19" t="str">
        <f aca="false">IF(ISNUMBER('2 Mock NUSA'!O45),'2 Mock NUSA'!O45,"")</f>
        <v/>
      </c>
      <c r="E46" s="19" t="str">
        <f aca="false">IF(ISNUMBER('2 Mock NUSA'!P45),'2 Mock NUSA'!P45,"")</f>
        <v/>
      </c>
      <c r="F46" s="19" t="str">
        <f aca="false">IF(ISNUMBER('2 Mock NUSA'!Q45),'2 Mock NUSA'!Q45,"")</f>
        <v/>
      </c>
      <c r="G46" s="19" t="str">
        <f aca="false">IF(ISNUMBER('2 Mock NUSA'!R45),'2 Mock NUSA'!R45,"")</f>
        <v/>
      </c>
      <c r="H46" s="19" t="n">
        <f aca="false">IF(ISNUMBER('2 Mock NUSA'!S45),'2 Mock NUSA'!S45,"")</f>
        <v>24.7</v>
      </c>
      <c r="I46" s="19" t="str">
        <f aca="false">IF(L46="Tidak","Invalid",IF(AND(ISNUMBER(D46),D46&lt;'Baca Dulu'!$B$13),"Positif","Negatif"))</f>
        <v>Negatif</v>
      </c>
      <c r="J46" s="19" t="str">
        <f aca="false">IF(L46="Tidak","Invalid",IF(AND(ISNUMBER(E46),E46&lt;'Baca Dulu'!$B$13),"Positif","Negatif"))</f>
        <v>Negatif</v>
      </c>
      <c r="K46" s="19" t="str">
        <f aca="false">IF(L46="Tidak","Invalid",IF(OR(AND(ISNUMBER(F46),F46&lt;'Baca Dulu'!$B$13),AND(ISNUMBER(G46),G46&lt;'Baca Dulu'!$B$13)),"Positif","Negatif"))</f>
        <v>Negatif</v>
      </c>
      <c r="L46" s="19" t="str">
        <f aca="false">IF(AND(ISNUMBER(H46),H46&lt;='Baca Dulu'!$B$14),"Ya","Tidak")</f>
        <v>Ya</v>
      </c>
      <c r="M46" s="19" t="str">
        <f aca="false">IF(L46="Tidak","Invalid",IF(OR(I46="Positif",J46="Positif"),"Positif 16/18",IF(K46="Positif","Positif lain","Negatif")))</f>
        <v>Negatif</v>
      </c>
      <c r="N46" s="24" t="str">
        <f aca="false">IF(AND(L46="Ya",COUNT(D46:G46)&gt;0),MIN(D46:G46)-H46,"")</f>
        <v/>
      </c>
      <c r="O46" s="25" t="n">
        <f aca="false">INT('2 Mock NUSA'!J45)</f>
        <v>46309</v>
      </c>
      <c r="P46" s="19" t="s">
        <v>768</v>
      </c>
    </row>
    <row r="47" customFormat="false" ht="15" hidden="false" customHeight="true" outlineLevel="0" collapsed="false">
      <c r="A47" s="23" t="s">
        <v>34</v>
      </c>
      <c r="B47" s="19" t="str">
        <f aca="false">'2 Mock NUSA'!B46</f>
        <v>A-7144</v>
      </c>
      <c r="C47" s="19" t="str">
        <f aca="false">'2 Mock NUSA'!A46</f>
        <v>P-0045</v>
      </c>
      <c r="D47" s="19" t="str">
        <f aca="false">IF(ISNUMBER('2 Mock NUSA'!O46),'2 Mock NUSA'!O46,"")</f>
        <v/>
      </c>
      <c r="E47" s="19" t="n">
        <f aca="false">IF(ISNUMBER('2 Mock NUSA'!P46),'2 Mock NUSA'!P46,"")</f>
        <v>25.3</v>
      </c>
      <c r="F47" s="19" t="str">
        <f aca="false">IF(ISNUMBER('2 Mock NUSA'!Q46),'2 Mock NUSA'!Q46,"")</f>
        <v/>
      </c>
      <c r="G47" s="19" t="str">
        <f aca="false">IF(ISNUMBER('2 Mock NUSA'!R46),'2 Mock NUSA'!R46,"")</f>
        <v/>
      </c>
      <c r="H47" s="19" t="n">
        <f aca="false">IF(ISNUMBER('2 Mock NUSA'!S46),'2 Mock NUSA'!S46,"")</f>
        <v>26.4</v>
      </c>
      <c r="I47" s="19" t="str">
        <f aca="false">IF(L47="Tidak","Invalid",IF(AND(ISNUMBER(D47),D47&lt;'Baca Dulu'!$B$13),"Positif","Negatif"))</f>
        <v>Negatif</v>
      </c>
      <c r="J47" s="19" t="str">
        <f aca="false">IF(L47="Tidak","Invalid",IF(AND(ISNUMBER(E47),E47&lt;'Baca Dulu'!$B$13),"Positif","Negatif"))</f>
        <v>Positif</v>
      </c>
      <c r="K47" s="19" t="str">
        <f aca="false">IF(L47="Tidak","Invalid",IF(OR(AND(ISNUMBER(F47),F47&lt;'Baca Dulu'!$B$13),AND(ISNUMBER(G47),G47&lt;'Baca Dulu'!$B$13)),"Positif","Negatif"))</f>
        <v>Negatif</v>
      </c>
      <c r="L47" s="19" t="str">
        <f aca="false">IF(AND(ISNUMBER(H47),H47&lt;='Baca Dulu'!$B$14),"Ya","Tidak")</f>
        <v>Ya</v>
      </c>
      <c r="M47" s="19" t="str">
        <f aca="false">IF(L47="Tidak","Invalid",IF(OR(I47="Positif",J47="Positif"),"Positif 16/18",IF(K47="Positif","Positif lain","Negatif")))</f>
        <v>Positif 16/18</v>
      </c>
      <c r="N47" s="24" t="n">
        <f aca="false">IF(AND(L47="Ya",COUNT(D47:G47)&gt;0),MIN(D47:G47)-H47,"")</f>
        <v>-1.1</v>
      </c>
      <c r="O47" s="25" t="n">
        <f aca="false">INT('2 Mock NUSA'!J46)</f>
        <v>46307</v>
      </c>
      <c r="P47" s="19" t="s">
        <v>768</v>
      </c>
    </row>
    <row r="48" customFormat="false" ht="15" hidden="false" customHeight="true" outlineLevel="0" collapsed="false">
      <c r="A48" s="23" t="s">
        <v>34</v>
      </c>
      <c r="B48" s="19" t="str">
        <f aca="false">'2 Mock NUSA'!B47</f>
        <v>A-7145</v>
      </c>
      <c r="C48" s="19" t="str">
        <f aca="false">'2 Mock NUSA'!A47</f>
        <v>P-0046</v>
      </c>
      <c r="D48" s="19" t="str">
        <f aca="false">IF(ISNUMBER('2 Mock NUSA'!O47),'2 Mock NUSA'!O47,"")</f>
        <v/>
      </c>
      <c r="E48" s="19" t="str">
        <f aca="false">IF(ISNUMBER('2 Mock NUSA'!P47),'2 Mock NUSA'!P47,"")</f>
        <v/>
      </c>
      <c r="F48" s="19" t="str">
        <f aca="false">IF(ISNUMBER('2 Mock NUSA'!Q47),'2 Mock NUSA'!Q47,"")</f>
        <v/>
      </c>
      <c r="G48" s="19" t="str">
        <f aca="false">IF(ISNUMBER('2 Mock NUSA'!R47),'2 Mock NUSA'!R47,"")</f>
        <v/>
      </c>
      <c r="H48" s="19" t="n">
        <f aca="false">IF(ISNUMBER('2 Mock NUSA'!S47),'2 Mock NUSA'!S47,"")</f>
        <v>27.8</v>
      </c>
      <c r="I48" s="19" t="str">
        <f aca="false">IF(L48="Tidak","Invalid",IF(AND(ISNUMBER(D48),D48&lt;'Baca Dulu'!$B$13),"Positif","Negatif"))</f>
        <v>Negatif</v>
      </c>
      <c r="J48" s="19" t="str">
        <f aca="false">IF(L48="Tidak","Invalid",IF(AND(ISNUMBER(E48),E48&lt;'Baca Dulu'!$B$13),"Positif","Negatif"))</f>
        <v>Negatif</v>
      </c>
      <c r="K48" s="19" t="str">
        <f aca="false">IF(L48="Tidak","Invalid",IF(OR(AND(ISNUMBER(F48),F48&lt;'Baca Dulu'!$B$13),AND(ISNUMBER(G48),G48&lt;'Baca Dulu'!$B$13)),"Positif","Negatif"))</f>
        <v>Negatif</v>
      </c>
      <c r="L48" s="19" t="str">
        <f aca="false">IF(AND(ISNUMBER(H48),H48&lt;='Baca Dulu'!$B$14),"Ya","Tidak")</f>
        <v>Ya</v>
      </c>
      <c r="M48" s="19" t="str">
        <f aca="false">IF(L48="Tidak","Invalid",IF(OR(I48="Positif",J48="Positif"),"Positif 16/18",IF(K48="Positif","Positif lain","Negatif")))</f>
        <v>Negatif</v>
      </c>
      <c r="N48" s="24" t="str">
        <f aca="false">IF(AND(L48="Ya",COUNT(D48:G48)&gt;0),MIN(D48:G48)-H48,"")</f>
        <v/>
      </c>
      <c r="O48" s="25" t="n">
        <f aca="false">INT('2 Mock NUSA'!J47)</f>
        <v>46302</v>
      </c>
      <c r="P48" s="19" t="s">
        <v>768</v>
      </c>
    </row>
    <row r="49" customFormat="false" ht="15" hidden="false" customHeight="true" outlineLevel="0" collapsed="false">
      <c r="A49" s="23" t="s">
        <v>34</v>
      </c>
      <c r="B49" s="19" t="str">
        <f aca="false">'2 Mock NUSA'!B48</f>
        <v>A-7146</v>
      </c>
      <c r="C49" s="19" t="str">
        <f aca="false">'2 Mock NUSA'!A48</f>
        <v>P-0047</v>
      </c>
      <c r="D49" s="19" t="str">
        <f aca="false">IF(ISNUMBER('2 Mock NUSA'!O48),'2 Mock NUSA'!O48,"")</f>
        <v/>
      </c>
      <c r="E49" s="19" t="str">
        <f aca="false">IF(ISNUMBER('2 Mock NUSA'!P48),'2 Mock NUSA'!P48,"")</f>
        <v/>
      </c>
      <c r="F49" s="19" t="str">
        <f aca="false">IF(ISNUMBER('2 Mock NUSA'!Q48),'2 Mock NUSA'!Q48,"")</f>
        <v/>
      </c>
      <c r="G49" s="19" t="str">
        <f aca="false">IF(ISNUMBER('2 Mock NUSA'!R48),'2 Mock NUSA'!R48,"")</f>
        <v/>
      </c>
      <c r="H49" s="19" t="n">
        <f aca="false">IF(ISNUMBER('2 Mock NUSA'!S48),'2 Mock NUSA'!S48,"")</f>
        <v>24.4</v>
      </c>
      <c r="I49" s="19" t="str">
        <f aca="false">IF(L49="Tidak","Invalid",IF(AND(ISNUMBER(D49),D49&lt;'Baca Dulu'!$B$13),"Positif","Negatif"))</f>
        <v>Negatif</v>
      </c>
      <c r="J49" s="19" t="str">
        <f aca="false">IF(L49="Tidak","Invalid",IF(AND(ISNUMBER(E49),E49&lt;'Baca Dulu'!$B$13),"Positif","Negatif"))</f>
        <v>Negatif</v>
      </c>
      <c r="K49" s="19" t="str">
        <f aca="false">IF(L49="Tidak","Invalid",IF(OR(AND(ISNUMBER(F49),F49&lt;'Baca Dulu'!$B$13),AND(ISNUMBER(G49),G49&lt;'Baca Dulu'!$B$13)),"Positif","Negatif"))</f>
        <v>Negatif</v>
      </c>
      <c r="L49" s="19" t="str">
        <f aca="false">IF(AND(ISNUMBER(H49),H49&lt;='Baca Dulu'!$B$14),"Ya","Tidak")</f>
        <v>Ya</v>
      </c>
      <c r="M49" s="19" t="str">
        <f aca="false">IF(L49="Tidak","Invalid",IF(OR(I49="Positif",J49="Positif"),"Positif 16/18",IF(K49="Positif","Positif lain","Negatif")))</f>
        <v>Negatif</v>
      </c>
      <c r="N49" s="24" t="str">
        <f aca="false">IF(AND(L49="Ya",COUNT(D49:G49)&gt;0),MIN(D49:G49)-H49,"")</f>
        <v/>
      </c>
      <c r="O49" s="25" t="n">
        <f aca="false">INT('2 Mock NUSA'!J48)</f>
        <v>46307</v>
      </c>
      <c r="P49" s="19" t="s">
        <v>768</v>
      </c>
    </row>
    <row r="50" customFormat="false" ht="15" hidden="false" customHeight="true" outlineLevel="0" collapsed="false">
      <c r="A50" s="23" t="s">
        <v>34</v>
      </c>
      <c r="B50" s="19" t="str">
        <f aca="false">'2 Mock NUSA'!B49</f>
        <v>A-7147</v>
      </c>
      <c r="C50" s="19" t="str">
        <f aca="false">'2 Mock NUSA'!A49</f>
        <v>P-0048</v>
      </c>
      <c r="D50" s="19" t="str">
        <f aca="false">IF(ISNUMBER('2 Mock NUSA'!O49),'2 Mock NUSA'!O49,"")</f>
        <v/>
      </c>
      <c r="E50" s="19" t="str">
        <f aca="false">IF(ISNUMBER('2 Mock NUSA'!P49),'2 Mock NUSA'!P49,"")</f>
        <v/>
      </c>
      <c r="F50" s="19" t="str">
        <f aca="false">IF(ISNUMBER('2 Mock NUSA'!Q49),'2 Mock NUSA'!Q49,"")</f>
        <v/>
      </c>
      <c r="G50" s="19" t="n">
        <f aca="false">IF(ISNUMBER('2 Mock NUSA'!R49),'2 Mock NUSA'!R49,"")</f>
        <v>28.9</v>
      </c>
      <c r="H50" s="19" t="n">
        <f aca="false">IF(ISNUMBER('2 Mock NUSA'!S49),'2 Mock NUSA'!S49,"")</f>
        <v>26.3</v>
      </c>
      <c r="I50" s="19" t="str">
        <f aca="false">IF(L50="Tidak","Invalid",IF(AND(ISNUMBER(D50),D50&lt;'Baca Dulu'!$B$13),"Positif","Negatif"))</f>
        <v>Negatif</v>
      </c>
      <c r="J50" s="19" t="str">
        <f aca="false">IF(L50="Tidak","Invalid",IF(AND(ISNUMBER(E50),E50&lt;'Baca Dulu'!$B$13),"Positif","Negatif"))</f>
        <v>Negatif</v>
      </c>
      <c r="K50" s="19" t="str">
        <f aca="false">IF(L50="Tidak","Invalid",IF(OR(AND(ISNUMBER(F50),F50&lt;'Baca Dulu'!$B$13),AND(ISNUMBER(G50),G50&lt;'Baca Dulu'!$B$13)),"Positif","Negatif"))</f>
        <v>Positif</v>
      </c>
      <c r="L50" s="19" t="str">
        <f aca="false">IF(AND(ISNUMBER(H50),H50&lt;='Baca Dulu'!$B$14),"Ya","Tidak")</f>
        <v>Ya</v>
      </c>
      <c r="M50" s="19" t="str">
        <f aca="false">IF(L50="Tidak","Invalid",IF(OR(I50="Positif",J50="Positif"),"Positif 16/18",IF(K50="Positif","Positif lain","Negatif")))</f>
        <v>Positif lain</v>
      </c>
      <c r="N50" s="24" t="n">
        <f aca="false">IF(AND(L50="Ya",COUNT(D50:G50)&gt;0),MIN(D50:G50)-H50,"")</f>
        <v>2.6</v>
      </c>
      <c r="O50" s="25" t="n">
        <f aca="false">INT('2 Mock NUSA'!J49)</f>
        <v>46303</v>
      </c>
      <c r="P50" s="19" t="s">
        <v>768</v>
      </c>
    </row>
    <row r="51" customFormat="false" ht="15" hidden="false" customHeight="true" outlineLevel="0" collapsed="false">
      <c r="A51" s="23" t="s">
        <v>34</v>
      </c>
      <c r="B51" s="19" t="str">
        <f aca="false">'2 Mock NUSA'!B50</f>
        <v>A-7148</v>
      </c>
      <c r="C51" s="19" t="str">
        <f aca="false">'2 Mock NUSA'!A50</f>
        <v>P-0049</v>
      </c>
      <c r="D51" s="19" t="str">
        <f aca="false">IF(ISNUMBER('2 Mock NUSA'!O50),'2 Mock NUSA'!O50,"")</f>
        <v/>
      </c>
      <c r="E51" s="19" t="str">
        <f aca="false">IF(ISNUMBER('2 Mock NUSA'!P50),'2 Mock NUSA'!P50,"")</f>
        <v/>
      </c>
      <c r="F51" s="19" t="str">
        <f aca="false">IF(ISNUMBER('2 Mock NUSA'!Q50),'2 Mock NUSA'!Q50,"")</f>
        <v/>
      </c>
      <c r="G51" s="19" t="str">
        <f aca="false">IF(ISNUMBER('2 Mock NUSA'!R50),'2 Mock NUSA'!R50,"")</f>
        <v/>
      </c>
      <c r="H51" s="19" t="n">
        <f aca="false">IF(ISNUMBER('2 Mock NUSA'!S50),'2 Mock NUSA'!S50,"")</f>
        <v>22.5</v>
      </c>
      <c r="I51" s="19" t="str">
        <f aca="false">IF(L51="Tidak","Invalid",IF(AND(ISNUMBER(D51),D51&lt;'Baca Dulu'!$B$13),"Positif","Negatif"))</f>
        <v>Negatif</v>
      </c>
      <c r="J51" s="19" t="str">
        <f aca="false">IF(L51="Tidak","Invalid",IF(AND(ISNUMBER(E51),E51&lt;'Baca Dulu'!$B$13),"Positif","Negatif"))</f>
        <v>Negatif</v>
      </c>
      <c r="K51" s="19" t="str">
        <f aca="false">IF(L51="Tidak","Invalid",IF(OR(AND(ISNUMBER(F51),F51&lt;'Baca Dulu'!$B$13),AND(ISNUMBER(G51),G51&lt;'Baca Dulu'!$B$13)),"Positif","Negatif"))</f>
        <v>Negatif</v>
      </c>
      <c r="L51" s="19" t="str">
        <f aca="false">IF(AND(ISNUMBER(H51),H51&lt;='Baca Dulu'!$B$14),"Ya","Tidak")</f>
        <v>Ya</v>
      </c>
      <c r="M51" s="19" t="str">
        <f aca="false">IF(L51="Tidak","Invalid",IF(OR(I51="Positif",J51="Positif"),"Positif 16/18",IF(K51="Positif","Positif lain","Negatif")))</f>
        <v>Negatif</v>
      </c>
      <c r="N51" s="24" t="str">
        <f aca="false">IF(AND(L51="Ya",COUNT(D51:G51)&gt;0),MIN(D51:G51)-H51,"")</f>
        <v/>
      </c>
      <c r="O51" s="25" t="n">
        <f aca="false">INT('2 Mock NUSA'!J50)</f>
        <v>46303</v>
      </c>
      <c r="P51" s="19" t="s">
        <v>768</v>
      </c>
    </row>
    <row r="52" customFormat="false" ht="15" hidden="false" customHeight="true" outlineLevel="0" collapsed="false">
      <c r="A52" s="23" t="s">
        <v>34</v>
      </c>
      <c r="B52" s="19" t="str">
        <f aca="false">'2 Mock NUSA'!B51</f>
        <v>A-7149</v>
      </c>
      <c r="C52" s="19" t="str">
        <f aca="false">'2 Mock NUSA'!A51</f>
        <v>P-0050</v>
      </c>
      <c r="D52" s="19" t="str">
        <f aca="false">IF(ISNUMBER('2 Mock NUSA'!O51),'2 Mock NUSA'!O51,"")</f>
        <v/>
      </c>
      <c r="E52" s="19" t="str">
        <f aca="false">IF(ISNUMBER('2 Mock NUSA'!P51),'2 Mock NUSA'!P51,"")</f>
        <v/>
      </c>
      <c r="F52" s="19" t="str">
        <f aca="false">IF(ISNUMBER('2 Mock NUSA'!Q51),'2 Mock NUSA'!Q51,"")</f>
        <v/>
      </c>
      <c r="G52" s="19" t="str">
        <f aca="false">IF(ISNUMBER('2 Mock NUSA'!R51),'2 Mock NUSA'!R51,"")</f>
        <v/>
      </c>
      <c r="H52" s="19" t="n">
        <f aca="false">IF(ISNUMBER('2 Mock NUSA'!S51),'2 Mock NUSA'!S51,"")</f>
        <v>29.2</v>
      </c>
      <c r="I52" s="19" t="str">
        <f aca="false">IF(L52="Tidak","Invalid",IF(AND(ISNUMBER(D52),D52&lt;'Baca Dulu'!$B$13),"Positif","Negatif"))</f>
        <v>Negatif</v>
      </c>
      <c r="J52" s="19" t="str">
        <f aca="false">IF(L52="Tidak","Invalid",IF(AND(ISNUMBER(E52),E52&lt;'Baca Dulu'!$B$13),"Positif","Negatif"))</f>
        <v>Negatif</v>
      </c>
      <c r="K52" s="19" t="str">
        <f aca="false">IF(L52="Tidak","Invalid",IF(OR(AND(ISNUMBER(F52),F52&lt;'Baca Dulu'!$B$13),AND(ISNUMBER(G52),G52&lt;'Baca Dulu'!$B$13)),"Positif","Negatif"))</f>
        <v>Negatif</v>
      </c>
      <c r="L52" s="19" t="str">
        <f aca="false">IF(AND(ISNUMBER(H52),H52&lt;='Baca Dulu'!$B$14),"Ya","Tidak")</f>
        <v>Ya</v>
      </c>
      <c r="M52" s="19" t="str">
        <f aca="false">IF(L52="Tidak","Invalid",IF(OR(I52="Positif",J52="Positif"),"Positif 16/18",IF(K52="Positif","Positif lain","Negatif")))</f>
        <v>Negatif</v>
      </c>
      <c r="N52" s="24" t="str">
        <f aca="false">IF(AND(L52="Ya",COUNT(D52:G52)&gt;0),MIN(D52:G52)-H52,"")</f>
        <v/>
      </c>
      <c r="O52" s="25" t="n">
        <f aca="false">INT('2 Mock NUSA'!J51)</f>
        <v>46300</v>
      </c>
      <c r="P52" s="19" t="s">
        <v>768</v>
      </c>
    </row>
    <row r="53" customFormat="false" ht="15" hidden="false" customHeight="true" outlineLevel="0" collapsed="false">
      <c r="A53" s="23" t="s">
        <v>34</v>
      </c>
      <c r="B53" s="19" t="str">
        <f aca="false">'2 Mock NUSA'!B52</f>
        <v>A-7150</v>
      </c>
      <c r="C53" s="19" t="str">
        <f aca="false">'2 Mock NUSA'!A52</f>
        <v>P-0051</v>
      </c>
      <c r="D53" s="19" t="str">
        <f aca="false">IF(ISNUMBER('2 Mock NUSA'!O52),'2 Mock NUSA'!O52,"")</f>
        <v/>
      </c>
      <c r="E53" s="19" t="str">
        <f aca="false">IF(ISNUMBER('2 Mock NUSA'!P52),'2 Mock NUSA'!P52,"")</f>
        <v/>
      </c>
      <c r="F53" s="19" t="str">
        <f aca="false">IF(ISNUMBER('2 Mock NUSA'!Q52),'2 Mock NUSA'!Q52,"")</f>
        <v/>
      </c>
      <c r="G53" s="19" t="str">
        <f aca="false">IF(ISNUMBER('2 Mock NUSA'!R52),'2 Mock NUSA'!R52,"")</f>
        <v/>
      </c>
      <c r="H53" s="19" t="n">
        <f aca="false">IF(ISNUMBER('2 Mock NUSA'!S52),'2 Mock NUSA'!S52,"")</f>
        <v>23.3</v>
      </c>
      <c r="I53" s="19" t="str">
        <f aca="false">IF(L53="Tidak","Invalid",IF(AND(ISNUMBER(D53),D53&lt;'Baca Dulu'!$B$13),"Positif","Negatif"))</f>
        <v>Negatif</v>
      </c>
      <c r="J53" s="19" t="str">
        <f aca="false">IF(L53="Tidak","Invalid",IF(AND(ISNUMBER(E53),E53&lt;'Baca Dulu'!$B$13),"Positif","Negatif"))</f>
        <v>Negatif</v>
      </c>
      <c r="K53" s="19" t="str">
        <f aca="false">IF(L53="Tidak","Invalid",IF(OR(AND(ISNUMBER(F53),F53&lt;'Baca Dulu'!$B$13),AND(ISNUMBER(G53),G53&lt;'Baca Dulu'!$B$13)),"Positif","Negatif"))</f>
        <v>Negatif</v>
      </c>
      <c r="L53" s="19" t="str">
        <f aca="false">IF(AND(ISNUMBER(H53),H53&lt;='Baca Dulu'!$B$14),"Ya","Tidak")</f>
        <v>Ya</v>
      </c>
      <c r="M53" s="19" t="str">
        <f aca="false">IF(L53="Tidak","Invalid",IF(OR(I53="Positif",J53="Positif"),"Positif 16/18",IF(K53="Positif","Positif lain","Negatif")))</f>
        <v>Negatif</v>
      </c>
      <c r="N53" s="24" t="str">
        <f aca="false">IF(AND(L53="Ya",COUNT(D53:G53)&gt;0),MIN(D53:G53)-H53,"")</f>
        <v/>
      </c>
      <c r="O53" s="25" t="n">
        <f aca="false">INT('2 Mock NUSA'!J52)</f>
        <v>46302</v>
      </c>
      <c r="P53" s="19" t="s">
        <v>768</v>
      </c>
    </row>
    <row r="54" customFormat="false" ht="15" hidden="false" customHeight="true" outlineLevel="0" collapsed="false">
      <c r="A54" s="23" t="s">
        <v>34</v>
      </c>
      <c r="B54" s="19" t="str">
        <f aca="false">'2 Mock NUSA'!B53</f>
        <v>A-7151</v>
      </c>
      <c r="C54" s="19" t="str">
        <f aca="false">'2 Mock NUSA'!A53</f>
        <v>P-0052</v>
      </c>
      <c r="D54" s="19" t="str">
        <f aca="false">IF(ISNUMBER('2 Mock NUSA'!O53),'2 Mock NUSA'!O53,"")</f>
        <v/>
      </c>
      <c r="E54" s="19" t="str">
        <f aca="false">IF(ISNUMBER('2 Mock NUSA'!P53),'2 Mock NUSA'!P53,"")</f>
        <v/>
      </c>
      <c r="F54" s="19" t="str">
        <f aca="false">IF(ISNUMBER('2 Mock NUSA'!Q53),'2 Mock NUSA'!Q53,"")</f>
        <v/>
      </c>
      <c r="G54" s="19" t="str">
        <f aca="false">IF(ISNUMBER('2 Mock NUSA'!R53),'2 Mock NUSA'!R53,"")</f>
        <v/>
      </c>
      <c r="H54" s="19" t="n">
        <f aca="false">IF(ISNUMBER('2 Mock NUSA'!S53),'2 Mock NUSA'!S53,"")</f>
        <v>25.9</v>
      </c>
      <c r="I54" s="19" t="str">
        <f aca="false">IF(L54="Tidak","Invalid",IF(AND(ISNUMBER(D54),D54&lt;'Baca Dulu'!$B$13),"Positif","Negatif"))</f>
        <v>Negatif</v>
      </c>
      <c r="J54" s="19" t="str">
        <f aca="false">IF(L54="Tidak","Invalid",IF(AND(ISNUMBER(E54),E54&lt;'Baca Dulu'!$B$13),"Positif","Negatif"))</f>
        <v>Negatif</v>
      </c>
      <c r="K54" s="19" t="str">
        <f aca="false">IF(L54="Tidak","Invalid",IF(OR(AND(ISNUMBER(F54),F54&lt;'Baca Dulu'!$B$13),AND(ISNUMBER(G54),G54&lt;'Baca Dulu'!$B$13)),"Positif","Negatif"))</f>
        <v>Negatif</v>
      </c>
      <c r="L54" s="19" t="str">
        <f aca="false">IF(AND(ISNUMBER(H54),H54&lt;='Baca Dulu'!$B$14),"Ya","Tidak")</f>
        <v>Ya</v>
      </c>
      <c r="M54" s="19" t="str">
        <f aca="false">IF(L54="Tidak","Invalid",IF(OR(I54="Positif",J54="Positif"),"Positif 16/18",IF(K54="Positif","Positif lain","Negatif")))</f>
        <v>Negatif</v>
      </c>
      <c r="N54" s="24" t="str">
        <f aca="false">IF(AND(L54="Ya",COUNT(D54:G54)&gt;0),MIN(D54:G54)-H54,"")</f>
        <v/>
      </c>
      <c r="O54" s="25" t="n">
        <f aca="false">INT('2 Mock NUSA'!J53)</f>
        <v>46306</v>
      </c>
      <c r="P54" s="19" t="s">
        <v>768</v>
      </c>
    </row>
    <row r="55" customFormat="false" ht="15" hidden="false" customHeight="true" outlineLevel="0" collapsed="false">
      <c r="A55" s="23" t="s">
        <v>34</v>
      </c>
      <c r="B55" s="19" t="str">
        <f aca="false">'2 Mock NUSA'!B54</f>
        <v>A-7152</v>
      </c>
      <c r="C55" s="19" t="str">
        <f aca="false">'2 Mock NUSA'!A54</f>
        <v>P-0053</v>
      </c>
      <c r="D55" s="19" t="str">
        <f aca="false">IF(ISNUMBER('2 Mock NUSA'!O54),'2 Mock NUSA'!O54,"")</f>
        <v/>
      </c>
      <c r="E55" s="19" t="str">
        <f aca="false">IF(ISNUMBER('2 Mock NUSA'!P54),'2 Mock NUSA'!P54,"")</f>
        <v/>
      </c>
      <c r="F55" s="19" t="str">
        <f aca="false">IF(ISNUMBER('2 Mock NUSA'!Q54),'2 Mock NUSA'!Q54,"")</f>
        <v/>
      </c>
      <c r="G55" s="19" t="str">
        <f aca="false">IF(ISNUMBER('2 Mock NUSA'!R54),'2 Mock NUSA'!R54,"")</f>
        <v/>
      </c>
      <c r="H55" s="19" t="n">
        <f aca="false">IF(ISNUMBER('2 Mock NUSA'!S54),'2 Mock NUSA'!S54,"")</f>
        <v>29.9</v>
      </c>
      <c r="I55" s="19" t="str">
        <f aca="false">IF(L55="Tidak","Invalid",IF(AND(ISNUMBER(D55),D55&lt;'Baca Dulu'!$B$13),"Positif","Negatif"))</f>
        <v>Negatif</v>
      </c>
      <c r="J55" s="19" t="str">
        <f aca="false">IF(L55="Tidak","Invalid",IF(AND(ISNUMBER(E55),E55&lt;'Baca Dulu'!$B$13),"Positif","Negatif"))</f>
        <v>Negatif</v>
      </c>
      <c r="K55" s="19" t="str">
        <f aca="false">IF(L55="Tidak","Invalid",IF(OR(AND(ISNUMBER(F55),F55&lt;'Baca Dulu'!$B$13),AND(ISNUMBER(G55),G55&lt;'Baca Dulu'!$B$13)),"Positif","Negatif"))</f>
        <v>Negatif</v>
      </c>
      <c r="L55" s="19" t="str">
        <f aca="false">IF(AND(ISNUMBER(H55),H55&lt;='Baca Dulu'!$B$14),"Ya","Tidak")</f>
        <v>Ya</v>
      </c>
      <c r="M55" s="19" t="str">
        <f aca="false">IF(L55="Tidak","Invalid",IF(OR(I55="Positif",J55="Positif"),"Positif 16/18",IF(K55="Positif","Positif lain","Negatif")))</f>
        <v>Negatif</v>
      </c>
      <c r="N55" s="24" t="str">
        <f aca="false">IF(AND(L55="Ya",COUNT(D55:G55)&gt;0),MIN(D55:G55)-H55,"")</f>
        <v/>
      </c>
      <c r="O55" s="25" t="n">
        <f aca="false">INT('2 Mock NUSA'!J54)</f>
        <v>46308</v>
      </c>
      <c r="P55" s="19" t="s">
        <v>768</v>
      </c>
    </row>
    <row r="56" customFormat="false" ht="15" hidden="false" customHeight="true" outlineLevel="0" collapsed="false">
      <c r="A56" s="23" t="s">
        <v>34</v>
      </c>
      <c r="B56" s="19" t="str">
        <f aca="false">'2 Mock NUSA'!B55</f>
        <v>A-7153</v>
      </c>
      <c r="C56" s="19" t="str">
        <f aca="false">'2 Mock NUSA'!A55</f>
        <v>P-0054</v>
      </c>
      <c r="D56" s="19" t="str">
        <f aca="false">IF(ISNUMBER('2 Mock NUSA'!O55),'2 Mock NUSA'!O55,"")</f>
        <v/>
      </c>
      <c r="E56" s="19" t="str">
        <f aca="false">IF(ISNUMBER('2 Mock NUSA'!P55),'2 Mock NUSA'!P55,"")</f>
        <v/>
      </c>
      <c r="F56" s="19" t="str">
        <f aca="false">IF(ISNUMBER('2 Mock NUSA'!Q55),'2 Mock NUSA'!Q55,"")</f>
        <v/>
      </c>
      <c r="G56" s="19" t="n">
        <f aca="false">IF(ISNUMBER('2 Mock NUSA'!R55),'2 Mock NUSA'!R55,"")</f>
        <v>25.3</v>
      </c>
      <c r="H56" s="19" t="n">
        <f aca="false">IF(ISNUMBER('2 Mock NUSA'!S55),'2 Mock NUSA'!S55,"")</f>
        <v>26.4</v>
      </c>
      <c r="I56" s="19" t="str">
        <f aca="false">IF(L56="Tidak","Invalid",IF(AND(ISNUMBER(D56),D56&lt;'Baca Dulu'!$B$13),"Positif","Negatif"))</f>
        <v>Negatif</v>
      </c>
      <c r="J56" s="19" t="str">
        <f aca="false">IF(L56="Tidak","Invalid",IF(AND(ISNUMBER(E56),E56&lt;'Baca Dulu'!$B$13),"Positif","Negatif"))</f>
        <v>Negatif</v>
      </c>
      <c r="K56" s="19" t="str">
        <f aca="false">IF(L56="Tidak","Invalid",IF(OR(AND(ISNUMBER(F56),F56&lt;'Baca Dulu'!$B$13),AND(ISNUMBER(G56),G56&lt;'Baca Dulu'!$B$13)),"Positif","Negatif"))</f>
        <v>Positif</v>
      </c>
      <c r="L56" s="19" t="str">
        <f aca="false">IF(AND(ISNUMBER(H56),H56&lt;='Baca Dulu'!$B$14),"Ya","Tidak")</f>
        <v>Ya</v>
      </c>
      <c r="M56" s="19" t="str">
        <f aca="false">IF(L56="Tidak","Invalid",IF(OR(I56="Positif",J56="Positif"),"Positif 16/18",IF(K56="Positif","Positif lain","Negatif")))</f>
        <v>Positif lain</v>
      </c>
      <c r="N56" s="24" t="n">
        <f aca="false">IF(AND(L56="Ya",COUNT(D56:G56)&gt;0),MIN(D56:G56)-H56,"")</f>
        <v>-1.1</v>
      </c>
      <c r="O56" s="25" t="n">
        <f aca="false">INT('2 Mock NUSA'!J55)</f>
        <v>46309</v>
      </c>
      <c r="P56" s="19" t="s">
        <v>768</v>
      </c>
    </row>
    <row r="57" customFormat="false" ht="15" hidden="false" customHeight="true" outlineLevel="0" collapsed="false">
      <c r="A57" s="23" t="s">
        <v>34</v>
      </c>
      <c r="B57" s="19" t="str">
        <f aca="false">'2 Mock NUSA'!B56</f>
        <v>A-7154</v>
      </c>
      <c r="C57" s="19" t="str">
        <f aca="false">'2 Mock NUSA'!A56</f>
        <v>P-0055</v>
      </c>
      <c r="D57" s="19" t="str">
        <f aca="false">IF(ISNUMBER('2 Mock NUSA'!O56),'2 Mock NUSA'!O56,"")</f>
        <v/>
      </c>
      <c r="E57" s="19" t="str">
        <f aca="false">IF(ISNUMBER('2 Mock NUSA'!P56),'2 Mock NUSA'!P56,"")</f>
        <v/>
      </c>
      <c r="F57" s="19" t="str">
        <f aca="false">IF(ISNUMBER('2 Mock NUSA'!Q56),'2 Mock NUSA'!Q56,"")</f>
        <v/>
      </c>
      <c r="G57" s="19" t="str">
        <f aca="false">IF(ISNUMBER('2 Mock NUSA'!R56),'2 Mock NUSA'!R56,"")</f>
        <v/>
      </c>
      <c r="H57" s="19" t="n">
        <f aca="false">IF(ISNUMBER('2 Mock NUSA'!S56),'2 Mock NUSA'!S56,"")</f>
        <v>26</v>
      </c>
      <c r="I57" s="19" t="str">
        <f aca="false">IF(L57="Tidak","Invalid",IF(AND(ISNUMBER(D57),D57&lt;'Baca Dulu'!$B$13),"Positif","Negatif"))</f>
        <v>Negatif</v>
      </c>
      <c r="J57" s="19" t="str">
        <f aca="false">IF(L57="Tidak","Invalid",IF(AND(ISNUMBER(E57),E57&lt;'Baca Dulu'!$B$13),"Positif","Negatif"))</f>
        <v>Negatif</v>
      </c>
      <c r="K57" s="19" t="str">
        <f aca="false">IF(L57="Tidak","Invalid",IF(OR(AND(ISNUMBER(F57),F57&lt;'Baca Dulu'!$B$13),AND(ISNUMBER(G57),G57&lt;'Baca Dulu'!$B$13)),"Positif","Negatif"))</f>
        <v>Negatif</v>
      </c>
      <c r="L57" s="19" t="str">
        <f aca="false">IF(AND(ISNUMBER(H57),H57&lt;='Baca Dulu'!$B$14),"Ya","Tidak")</f>
        <v>Ya</v>
      </c>
      <c r="M57" s="19" t="str">
        <f aca="false">IF(L57="Tidak","Invalid",IF(OR(I57="Positif",J57="Positif"),"Positif 16/18",IF(K57="Positif","Positif lain","Negatif")))</f>
        <v>Negatif</v>
      </c>
      <c r="N57" s="24" t="str">
        <f aca="false">IF(AND(L57="Ya",COUNT(D57:G57)&gt;0),MIN(D57:G57)-H57,"")</f>
        <v/>
      </c>
      <c r="O57" s="25" t="n">
        <f aca="false">INT('2 Mock NUSA'!J56)</f>
        <v>46307</v>
      </c>
      <c r="P57" s="19" t="s">
        <v>768</v>
      </c>
    </row>
    <row r="58" customFormat="false" ht="15" hidden="false" customHeight="true" outlineLevel="0" collapsed="false">
      <c r="A58" s="23" t="s">
        <v>34</v>
      </c>
      <c r="B58" s="19" t="str">
        <f aca="false">'2 Mock NUSA'!B57</f>
        <v>A-7155</v>
      </c>
      <c r="C58" s="19" t="str">
        <f aca="false">'2 Mock NUSA'!A57</f>
        <v>P-0056</v>
      </c>
      <c r="D58" s="19" t="str">
        <f aca="false">IF(ISNUMBER('2 Mock NUSA'!O57),'2 Mock NUSA'!O57,"")</f>
        <v/>
      </c>
      <c r="E58" s="19" t="str">
        <f aca="false">IF(ISNUMBER('2 Mock NUSA'!P57),'2 Mock NUSA'!P57,"")</f>
        <v/>
      </c>
      <c r="F58" s="19" t="n">
        <f aca="false">IF(ISNUMBER('2 Mock NUSA'!Q57),'2 Mock NUSA'!Q57,"")</f>
        <v>27.1</v>
      </c>
      <c r="G58" s="19" t="str">
        <f aca="false">IF(ISNUMBER('2 Mock NUSA'!R57),'2 Mock NUSA'!R57,"")</f>
        <v/>
      </c>
      <c r="H58" s="19" t="n">
        <f aca="false">IF(ISNUMBER('2 Mock NUSA'!S57),'2 Mock NUSA'!S57,"")</f>
        <v>25.2</v>
      </c>
      <c r="I58" s="19" t="str">
        <f aca="false">IF(L58="Tidak","Invalid",IF(AND(ISNUMBER(D58),D58&lt;'Baca Dulu'!$B$13),"Positif","Negatif"))</f>
        <v>Negatif</v>
      </c>
      <c r="J58" s="19" t="str">
        <f aca="false">IF(L58="Tidak","Invalid",IF(AND(ISNUMBER(E58),E58&lt;'Baca Dulu'!$B$13),"Positif","Negatif"))</f>
        <v>Negatif</v>
      </c>
      <c r="K58" s="19" t="str">
        <f aca="false">IF(L58="Tidak","Invalid",IF(OR(AND(ISNUMBER(F58),F58&lt;'Baca Dulu'!$B$13),AND(ISNUMBER(G58),G58&lt;'Baca Dulu'!$B$13)),"Positif","Negatif"))</f>
        <v>Positif</v>
      </c>
      <c r="L58" s="19" t="str">
        <f aca="false">IF(AND(ISNUMBER(H58),H58&lt;='Baca Dulu'!$B$14),"Ya","Tidak")</f>
        <v>Ya</v>
      </c>
      <c r="M58" s="19" t="str">
        <f aca="false">IF(L58="Tidak","Invalid",IF(OR(I58="Positif",J58="Positif"),"Positif 16/18",IF(K58="Positif","Positif lain","Negatif")))</f>
        <v>Positif lain</v>
      </c>
      <c r="N58" s="24" t="n">
        <f aca="false">IF(AND(L58="Ya",COUNT(D58:G58)&gt;0),MIN(D58:G58)-H58,"")</f>
        <v>1.9</v>
      </c>
      <c r="O58" s="25" t="n">
        <f aca="false">INT('2 Mock NUSA'!J57)</f>
        <v>46303</v>
      </c>
      <c r="P58" s="19" t="s">
        <v>768</v>
      </c>
    </row>
    <row r="59" customFormat="false" ht="15" hidden="false" customHeight="true" outlineLevel="0" collapsed="false">
      <c r="A59" s="23" t="s">
        <v>34</v>
      </c>
      <c r="B59" s="19" t="str">
        <f aca="false">'2 Mock NUSA'!B58</f>
        <v>A-7156</v>
      </c>
      <c r="C59" s="19" t="str">
        <f aca="false">'2 Mock NUSA'!A58</f>
        <v>P-0057</v>
      </c>
      <c r="D59" s="19" t="str">
        <f aca="false">IF(ISNUMBER('2 Mock NUSA'!O58),'2 Mock NUSA'!O58,"")</f>
        <v/>
      </c>
      <c r="E59" s="19" t="str">
        <f aca="false">IF(ISNUMBER('2 Mock NUSA'!P58),'2 Mock NUSA'!P58,"")</f>
        <v/>
      </c>
      <c r="F59" s="19" t="str">
        <f aca="false">IF(ISNUMBER('2 Mock NUSA'!Q58),'2 Mock NUSA'!Q58,"")</f>
        <v/>
      </c>
      <c r="G59" s="19" t="str">
        <f aca="false">IF(ISNUMBER('2 Mock NUSA'!R58),'2 Mock NUSA'!R58,"")</f>
        <v/>
      </c>
      <c r="H59" s="19" t="n">
        <f aca="false">IF(ISNUMBER('2 Mock NUSA'!S58),'2 Mock NUSA'!S58,"")</f>
        <v>25.8</v>
      </c>
      <c r="I59" s="19" t="str">
        <f aca="false">IF(L59="Tidak","Invalid",IF(AND(ISNUMBER(D59),D59&lt;'Baca Dulu'!$B$13),"Positif","Negatif"))</f>
        <v>Negatif</v>
      </c>
      <c r="J59" s="19" t="str">
        <f aca="false">IF(L59="Tidak","Invalid",IF(AND(ISNUMBER(E59),E59&lt;'Baca Dulu'!$B$13),"Positif","Negatif"))</f>
        <v>Negatif</v>
      </c>
      <c r="K59" s="19" t="str">
        <f aca="false">IF(L59="Tidak","Invalid",IF(OR(AND(ISNUMBER(F59),F59&lt;'Baca Dulu'!$B$13),AND(ISNUMBER(G59),G59&lt;'Baca Dulu'!$B$13)),"Positif","Negatif"))</f>
        <v>Negatif</v>
      </c>
      <c r="L59" s="19" t="str">
        <f aca="false">IF(AND(ISNUMBER(H59),H59&lt;='Baca Dulu'!$B$14),"Ya","Tidak")</f>
        <v>Ya</v>
      </c>
      <c r="M59" s="19" t="str">
        <f aca="false">IF(L59="Tidak","Invalid",IF(OR(I59="Positif",J59="Positif"),"Positif 16/18",IF(K59="Positif","Positif lain","Negatif")))</f>
        <v>Negatif</v>
      </c>
      <c r="N59" s="24" t="str">
        <f aca="false">IF(AND(L59="Ya",COUNT(D59:G59)&gt;0),MIN(D59:G59)-H59,"")</f>
        <v/>
      </c>
      <c r="O59" s="25" t="n">
        <f aca="false">INT('2 Mock NUSA'!J58)</f>
        <v>46303</v>
      </c>
      <c r="P59" s="19" t="s">
        <v>768</v>
      </c>
    </row>
    <row r="60" customFormat="false" ht="15" hidden="false" customHeight="true" outlineLevel="0" collapsed="false">
      <c r="A60" s="23" t="s">
        <v>34</v>
      </c>
      <c r="B60" s="19" t="str">
        <f aca="false">'2 Mock NUSA'!B59</f>
        <v>A-7157</v>
      </c>
      <c r="C60" s="19" t="str">
        <f aca="false">'2 Mock NUSA'!A59</f>
        <v>P-0058</v>
      </c>
      <c r="D60" s="19" t="str">
        <f aca="false">IF(ISNUMBER('2 Mock NUSA'!O59),'2 Mock NUSA'!O59,"")</f>
        <v/>
      </c>
      <c r="E60" s="19" t="str">
        <f aca="false">IF(ISNUMBER('2 Mock NUSA'!P59),'2 Mock NUSA'!P59,"")</f>
        <v/>
      </c>
      <c r="F60" s="19" t="str">
        <f aca="false">IF(ISNUMBER('2 Mock NUSA'!Q59),'2 Mock NUSA'!Q59,"")</f>
        <v/>
      </c>
      <c r="G60" s="19" t="str">
        <f aca="false">IF(ISNUMBER('2 Mock NUSA'!R59),'2 Mock NUSA'!R59,"")</f>
        <v/>
      </c>
      <c r="H60" s="19" t="n">
        <f aca="false">IF(ISNUMBER('2 Mock NUSA'!S59),'2 Mock NUSA'!S59,"")</f>
        <v>29.2</v>
      </c>
      <c r="I60" s="19" t="str">
        <f aca="false">IF(L60="Tidak","Invalid",IF(AND(ISNUMBER(D60),D60&lt;'Baca Dulu'!$B$13),"Positif","Negatif"))</f>
        <v>Negatif</v>
      </c>
      <c r="J60" s="19" t="str">
        <f aca="false">IF(L60="Tidak","Invalid",IF(AND(ISNUMBER(E60),E60&lt;'Baca Dulu'!$B$13),"Positif","Negatif"))</f>
        <v>Negatif</v>
      </c>
      <c r="K60" s="19" t="str">
        <f aca="false">IF(L60="Tidak","Invalid",IF(OR(AND(ISNUMBER(F60),F60&lt;'Baca Dulu'!$B$13),AND(ISNUMBER(G60),G60&lt;'Baca Dulu'!$B$13)),"Positif","Negatif"))</f>
        <v>Negatif</v>
      </c>
      <c r="L60" s="19" t="str">
        <f aca="false">IF(AND(ISNUMBER(H60),H60&lt;='Baca Dulu'!$B$14),"Ya","Tidak")</f>
        <v>Ya</v>
      </c>
      <c r="M60" s="19" t="str">
        <f aca="false">IF(L60="Tidak","Invalid",IF(OR(I60="Positif",J60="Positif"),"Positif 16/18",IF(K60="Positif","Positif lain","Negatif")))</f>
        <v>Negatif</v>
      </c>
      <c r="N60" s="24" t="str">
        <f aca="false">IF(AND(L60="Ya",COUNT(D60:G60)&gt;0),MIN(D60:G60)-H60,"")</f>
        <v/>
      </c>
      <c r="O60" s="25" t="n">
        <f aca="false">INT('2 Mock NUSA'!J59)</f>
        <v>46304</v>
      </c>
      <c r="P60" s="19" t="s">
        <v>768</v>
      </c>
    </row>
    <row r="61" customFormat="false" ht="15" hidden="false" customHeight="true" outlineLevel="0" collapsed="false">
      <c r="A61" s="23" t="s">
        <v>34</v>
      </c>
      <c r="B61" s="19" t="str">
        <f aca="false">'2 Mock NUSA'!B60</f>
        <v>A-7158</v>
      </c>
      <c r="C61" s="19" t="str">
        <f aca="false">'2 Mock NUSA'!A60</f>
        <v>P-0059</v>
      </c>
      <c r="D61" s="19" t="str">
        <f aca="false">IF(ISNUMBER('2 Mock NUSA'!O60),'2 Mock NUSA'!O60,"")</f>
        <v/>
      </c>
      <c r="E61" s="19" t="str">
        <f aca="false">IF(ISNUMBER('2 Mock NUSA'!P60),'2 Mock NUSA'!P60,"")</f>
        <v/>
      </c>
      <c r="F61" s="19" t="str">
        <f aca="false">IF(ISNUMBER('2 Mock NUSA'!Q60),'2 Mock NUSA'!Q60,"")</f>
        <v/>
      </c>
      <c r="G61" s="19" t="str">
        <f aca="false">IF(ISNUMBER('2 Mock NUSA'!R60),'2 Mock NUSA'!R60,"")</f>
        <v/>
      </c>
      <c r="H61" s="19" t="n">
        <f aca="false">IF(ISNUMBER('2 Mock NUSA'!S60),'2 Mock NUSA'!S60,"")</f>
        <v>36.3</v>
      </c>
      <c r="I61" s="19" t="str">
        <f aca="false">IF(L61="Tidak","Invalid",IF(AND(ISNUMBER(D61),D61&lt;'Baca Dulu'!$B$13),"Positif","Negatif"))</f>
        <v>Invalid</v>
      </c>
      <c r="J61" s="19" t="str">
        <f aca="false">IF(L61="Tidak","Invalid",IF(AND(ISNUMBER(E61),E61&lt;'Baca Dulu'!$B$13),"Positif","Negatif"))</f>
        <v>Invalid</v>
      </c>
      <c r="K61" s="19" t="str">
        <f aca="false">IF(L61="Tidak","Invalid",IF(OR(AND(ISNUMBER(F61),F61&lt;'Baca Dulu'!$B$13),AND(ISNUMBER(G61),G61&lt;'Baca Dulu'!$B$13)),"Positif","Negatif"))</f>
        <v>Invalid</v>
      </c>
      <c r="L61" s="19" t="str">
        <f aca="false">IF(AND(ISNUMBER(H61),H61&lt;='Baca Dulu'!$B$14),"Ya","Tidak")</f>
        <v>Tidak</v>
      </c>
      <c r="M61" s="19" t="str">
        <f aca="false">IF(L61="Tidak","Invalid",IF(OR(I61="Positif",J61="Positif"),"Positif 16/18",IF(K61="Positif","Positif lain","Negatif")))</f>
        <v>Invalid</v>
      </c>
      <c r="N61" s="24" t="str">
        <f aca="false">IF(AND(L61="Ya",COUNT(D61:G61)&gt;0),MIN(D61:G61)-H61,"")</f>
        <v/>
      </c>
      <c r="O61" s="25" t="n">
        <f aca="false">INT('2 Mock NUSA'!J60)</f>
        <v>46302</v>
      </c>
      <c r="P61" s="19" t="s">
        <v>768</v>
      </c>
    </row>
    <row r="62" customFormat="false" ht="15" hidden="false" customHeight="true" outlineLevel="0" collapsed="false">
      <c r="A62" s="23" t="s">
        <v>34</v>
      </c>
      <c r="B62" s="19" t="str">
        <f aca="false">'2 Mock NUSA'!B61</f>
        <v>A-7159</v>
      </c>
      <c r="C62" s="19" t="str">
        <f aca="false">'2 Mock NUSA'!A61</f>
        <v>P-0060</v>
      </c>
      <c r="D62" s="19" t="str">
        <f aca="false">IF(ISNUMBER('2 Mock NUSA'!O61),'2 Mock NUSA'!O61,"")</f>
        <v/>
      </c>
      <c r="E62" s="19" t="str">
        <f aca="false">IF(ISNUMBER('2 Mock NUSA'!P61),'2 Mock NUSA'!P61,"")</f>
        <v/>
      </c>
      <c r="F62" s="19" t="str">
        <f aca="false">IF(ISNUMBER('2 Mock NUSA'!Q61),'2 Mock NUSA'!Q61,"")</f>
        <v/>
      </c>
      <c r="G62" s="19" t="str">
        <f aca="false">IF(ISNUMBER('2 Mock NUSA'!R61),'2 Mock NUSA'!R61,"")</f>
        <v/>
      </c>
      <c r="H62" s="19" t="n">
        <f aca="false">IF(ISNUMBER('2 Mock NUSA'!S61),'2 Mock NUSA'!S61,"")</f>
        <v>25.5</v>
      </c>
      <c r="I62" s="19" t="str">
        <f aca="false">IF(L62="Tidak","Invalid",IF(AND(ISNUMBER(D62),D62&lt;'Baca Dulu'!$B$13),"Positif","Negatif"))</f>
        <v>Negatif</v>
      </c>
      <c r="J62" s="19" t="str">
        <f aca="false">IF(L62="Tidak","Invalid",IF(AND(ISNUMBER(E62),E62&lt;'Baca Dulu'!$B$13),"Positif","Negatif"))</f>
        <v>Negatif</v>
      </c>
      <c r="K62" s="19" t="str">
        <f aca="false">IF(L62="Tidak","Invalid",IF(OR(AND(ISNUMBER(F62),F62&lt;'Baca Dulu'!$B$13),AND(ISNUMBER(G62),G62&lt;'Baca Dulu'!$B$13)),"Positif","Negatif"))</f>
        <v>Negatif</v>
      </c>
      <c r="L62" s="19" t="str">
        <f aca="false">IF(AND(ISNUMBER(H62),H62&lt;='Baca Dulu'!$B$14),"Ya","Tidak")</f>
        <v>Ya</v>
      </c>
      <c r="M62" s="19" t="str">
        <f aca="false">IF(L62="Tidak","Invalid",IF(OR(I62="Positif",J62="Positif"),"Positif 16/18",IF(K62="Positif","Positif lain","Negatif")))</f>
        <v>Negatif</v>
      </c>
      <c r="N62" s="24" t="str">
        <f aca="false">IF(AND(L62="Ya",COUNT(D62:G62)&gt;0),MIN(D62:G62)-H62,"")</f>
        <v/>
      </c>
      <c r="O62" s="25" t="n">
        <f aca="false">INT('2 Mock NUSA'!J61)</f>
        <v>46308</v>
      </c>
      <c r="P62" s="19" t="s">
        <v>768</v>
      </c>
    </row>
    <row r="63" customFormat="false" ht="15" hidden="false" customHeight="true" outlineLevel="0" collapsed="false">
      <c r="A63" s="26" t="s">
        <v>769</v>
      </c>
      <c r="B63" s="19" t="s">
        <v>436</v>
      </c>
      <c r="C63" s="19" t="str">
        <f aca="false">INDEX('3 Mock CerviScan'!$F$3:$F$302,MATCH(B63,'3 Mock CerviScan'!$B$3:$B$302,0))</f>
        <v>P-0061</v>
      </c>
      <c r="D63" s="19" t="str">
        <f aca="false">IFERROR(AVERAGEIFS('3 Mock CerviScan'!$E$3:$E$302,'3 Mock CerviScan'!$B$3:$B$302,$B63,'3 Mock CerviScan'!$C$3:$C$302,"HPV16"),"")</f>
        <v/>
      </c>
      <c r="E63" s="19" t="str">
        <f aca="false">IFERROR(AVERAGEIFS('3 Mock CerviScan'!$E$3:$E$302,'3 Mock CerviScan'!$B$3:$B$302,$B63,'3 Mock CerviScan'!$C$3:$C$302,"HPV18"),"")</f>
        <v/>
      </c>
      <c r="F63" s="19" t="str">
        <f aca="false">IFERROR(AVERAGEIFS('3 Mock CerviScan'!$E$3:$E$302,'3 Mock CerviScan'!$B$3:$B$302,$B63,'3 Mock CerviScan'!$C$3:$C$302,"HPV52"),"")</f>
        <v/>
      </c>
      <c r="G63" s="19" t="str">
        <f aca="false">IFERROR(AVERAGEIFS('3 Mock CerviScan'!$E$3:$E$302,'3 Mock CerviScan'!$B$3:$B$302,$B63,'3 Mock CerviScan'!$C$3:$C$302,"HR lain (11 tipe)"),"")</f>
        <v/>
      </c>
      <c r="H63" s="19" t="n">
        <f aca="false">IFERROR(AVERAGEIFS('3 Mock CerviScan'!$E$3:$E$302,'3 Mock CerviScan'!$B$3:$B$302,$B63,'3 Mock CerviScan'!$C$3:$C$302,"Beta-globin (IC)"),"")</f>
        <v>24.9</v>
      </c>
      <c r="I63" s="19" t="str">
        <f aca="false">IF(L63="Tidak","Invalid",IF(AND(ISNUMBER(D63),D63&lt;'Baca Dulu'!$B$13),"Positif","Negatif"))</f>
        <v>Negatif</v>
      </c>
      <c r="J63" s="19" t="str">
        <f aca="false">IF(L63="Tidak","Invalid",IF(AND(ISNUMBER(E63),E63&lt;'Baca Dulu'!$B$13),"Positif","Negatif"))</f>
        <v>Negatif</v>
      </c>
      <c r="K63" s="19" t="str">
        <f aca="false">IF(L63="Tidak","Invalid",IF(OR(AND(ISNUMBER(F63),F63&lt;'Baca Dulu'!$B$13),AND(ISNUMBER(G63),G63&lt;'Baca Dulu'!$B$13)),"Positif","Negatif"))</f>
        <v>Negatif</v>
      </c>
      <c r="L63" s="19" t="str">
        <f aca="false">IF(AND(ISNUMBER(H63),H63&lt;='Baca Dulu'!$B$14),"Ya","Tidak")</f>
        <v>Ya</v>
      </c>
      <c r="M63" s="19" t="str">
        <f aca="false">IF(L63="Tidak","Invalid",IF(OR(I63="Positif",J63="Positif"),"Positif 16/18",IF(K63="Positif","Positif lain","Negatif")))</f>
        <v>Negatif</v>
      </c>
      <c r="N63" s="24" t="str">
        <f aca="false">IF(AND(L63="Ya",COUNT(D63:G63)&gt;0),MIN(D63:G63)-H63,"")</f>
        <v/>
      </c>
      <c r="O63" s="25" t="n">
        <f aca="false">INDEX('3 Mock CerviScan'!$H$3:$H$302,MATCH(B63,'3 Mock CerviScan'!$B$3:$B$302,0))</f>
        <v>46306</v>
      </c>
      <c r="P63" s="19" t="s">
        <v>770</v>
      </c>
    </row>
    <row r="64" customFormat="false" ht="15" hidden="false" customHeight="true" outlineLevel="0" collapsed="false">
      <c r="A64" s="26" t="s">
        <v>769</v>
      </c>
      <c r="B64" s="19" t="s">
        <v>451</v>
      </c>
      <c r="C64" s="19" t="str">
        <f aca="false">INDEX('3 Mock CerviScan'!$F$3:$F$302,MATCH(B64,'3 Mock CerviScan'!$B$3:$B$302,0))</f>
        <v>P-0062</v>
      </c>
      <c r="D64" s="19" t="str">
        <f aca="false">IFERROR(AVERAGEIFS('3 Mock CerviScan'!$E$3:$E$302,'3 Mock CerviScan'!$B$3:$B$302,$B64,'3 Mock CerviScan'!$C$3:$C$302,"HPV16"),"")</f>
        <v/>
      </c>
      <c r="E64" s="19" t="str">
        <f aca="false">IFERROR(AVERAGEIFS('3 Mock CerviScan'!$E$3:$E$302,'3 Mock CerviScan'!$B$3:$B$302,$B64,'3 Mock CerviScan'!$C$3:$C$302,"HPV18"),"")</f>
        <v/>
      </c>
      <c r="F64" s="19" t="str">
        <f aca="false">IFERROR(AVERAGEIFS('3 Mock CerviScan'!$E$3:$E$302,'3 Mock CerviScan'!$B$3:$B$302,$B64,'3 Mock CerviScan'!$C$3:$C$302,"HPV52"),"")</f>
        <v/>
      </c>
      <c r="G64" s="19" t="str">
        <f aca="false">IFERROR(AVERAGEIFS('3 Mock CerviScan'!$E$3:$E$302,'3 Mock CerviScan'!$B$3:$B$302,$B64,'3 Mock CerviScan'!$C$3:$C$302,"HR lain (11 tipe)"),"")</f>
        <v/>
      </c>
      <c r="H64" s="19" t="n">
        <f aca="false">IFERROR(AVERAGEIFS('3 Mock CerviScan'!$E$3:$E$302,'3 Mock CerviScan'!$B$3:$B$302,$B64,'3 Mock CerviScan'!$C$3:$C$302,"Beta-globin (IC)"),"")</f>
        <v>26.9</v>
      </c>
      <c r="I64" s="19" t="str">
        <f aca="false">IF(L64="Tidak","Invalid",IF(AND(ISNUMBER(D64),D64&lt;'Baca Dulu'!$B$13),"Positif","Negatif"))</f>
        <v>Negatif</v>
      </c>
      <c r="J64" s="19" t="str">
        <f aca="false">IF(L64="Tidak","Invalid",IF(AND(ISNUMBER(E64),E64&lt;'Baca Dulu'!$B$13),"Positif","Negatif"))</f>
        <v>Negatif</v>
      </c>
      <c r="K64" s="19" t="str">
        <f aca="false">IF(L64="Tidak","Invalid",IF(OR(AND(ISNUMBER(F64),F64&lt;'Baca Dulu'!$B$13),AND(ISNUMBER(G64),G64&lt;'Baca Dulu'!$B$13)),"Positif","Negatif"))</f>
        <v>Negatif</v>
      </c>
      <c r="L64" s="19" t="str">
        <f aca="false">IF(AND(ISNUMBER(H64),H64&lt;='Baca Dulu'!$B$14),"Ya","Tidak")</f>
        <v>Ya</v>
      </c>
      <c r="M64" s="19" t="str">
        <f aca="false">IF(L64="Tidak","Invalid",IF(OR(I64="Positif",J64="Positif"),"Positif 16/18",IF(K64="Positif","Positif lain","Negatif")))</f>
        <v>Negatif</v>
      </c>
      <c r="N64" s="24" t="str">
        <f aca="false">IF(AND(L64="Ya",COUNT(D64:G64)&gt;0),MIN(D64:G64)-H64,"")</f>
        <v/>
      </c>
      <c r="O64" s="25" t="n">
        <f aca="false">INDEX('3 Mock CerviScan'!$H$3:$H$302,MATCH(B64,'3 Mock CerviScan'!$B$3:$B$302,0))</f>
        <v>46306</v>
      </c>
      <c r="P64" s="19" t="s">
        <v>770</v>
      </c>
    </row>
    <row r="65" customFormat="false" ht="15" hidden="false" customHeight="true" outlineLevel="0" collapsed="false">
      <c r="A65" s="26" t="s">
        <v>769</v>
      </c>
      <c r="B65" s="19" t="s">
        <v>454</v>
      </c>
      <c r="C65" s="19" t="str">
        <f aca="false">INDEX('3 Mock CerviScan'!$F$3:$F$302,MATCH(B65,'3 Mock CerviScan'!$B$3:$B$302,0))</f>
        <v>P-0063</v>
      </c>
      <c r="D65" s="19" t="str">
        <f aca="false">IFERROR(AVERAGEIFS('3 Mock CerviScan'!$E$3:$E$302,'3 Mock CerviScan'!$B$3:$B$302,$B65,'3 Mock CerviScan'!$C$3:$C$302,"HPV16"),"")</f>
        <v/>
      </c>
      <c r="E65" s="19" t="str">
        <f aca="false">IFERROR(AVERAGEIFS('3 Mock CerviScan'!$E$3:$E$302,'3 Mock CerviScan'!$B$3:$B$302,$B65,'3 Mock CerviScan'!$C$3:$C$302,"HPV18"),"")</f>
        <v/>
      </c>
      <c r="F65" s="19" t="str">
        <f aca="false">IFERROR(AVERAGEIFS('3 Mock CerviScan'!$E$3:$E$302,'3 Mock CerviScan'!$B$3:$B$302,$B65,'3 Mock CerviScan'!$C$3:$C$302,"HPV52"),"")</f>
        <v/>
      </c>
      <c r="G65" s="19" t="str">
        <f aca="false">IFERROR(AVERAGEIFS('3 Mock CerviScan'!$E$3:$E$302,'3 Mock CerviScan'!$B$3:$B$302,$B65,'3 Mock CerviScan'!$C$3:$C$302,"HR lain (11 tipe)"),"")</f>
        <v/>
      </c>
      <c r="H65" s="19" t="n">
        <f aca="false">IFERROR(AVERAGEIFS('3 Mock CerviScan'!$E$3:$E$302,'3 Mock CerviScan'!$B$3:$B$302,$B65,'3 Mock CerviScan'!$C$3:$C$302,"Beta-globin (IC)"),"")</f>
        <v>25.9</v>
      </c>
      <c r="I65" s="19" t="str">
        <f aca="false">IF(L65="Tidak","Invalid",IF(AND(ISNUMBER(D65),D65&lt;'Baca Dulu'!$B$13),"Positif","Negatif"))</f>
        <v>Negatif</v>
      </c>
      <c r="J65" s="19" t="str">
        <f aca="false">IF(L65="Tidak","Invalid",IF(AND(ISNUMBER(E65),E65&lt;'Baca Dulu'!$B$13),"Positif","Negatif"))</f>
        <v>Negatif</v>
      </c>
      <c r="K65" s="19" t="str">
        <f aca="false">IF(L65="Tidak","Invalid",IF(OR(AND(ISNUMBER(F65),F65&lt;'Baca Dulu'!$B$13),AND(ISNUMBER(G65),G65&lt;'Baca Dulu'!$B$13)),"Positif","Negatif"))</f>
        <v>Negatif</v>
      </c>
      <c r="L65" s="19" t="str">
        <f aca="false">IF(AND(ISNUMBER(H65),H65&lt;='Baca Dulu'!$B$14),"Ya","Tidak")</f>
        <v>Ya</v>
      </c>
      <c r="M65" s="19" t="str">
        <f aca="false">IF(L65="Tidak","Invalid",IF(OR(I65="Positif",J65="Positif"),"Positif 16/18",IF(K65="Positif","Positif lain","Negatif")))</f>
        <v>Negatif</v>
      </c>
      <c r="N65" s="24" t="str">
        <f aca="false">IF(AND(L65="Ya",COUNT(D65:G65)&gt;0),MIN(D65:G65)-H65,"")</f>
        <v/>
      </c>
      <c r="O65" s="25" t="n">
        <f aca="false">INDEX('3 Mock CerviScan'!$H$3:$H$302,MATCH(B65,'3 Mock CerviScan'!$B$3:$B$302,0))</f>
        <v>46304</v>
      </c>
      <c r="P65" s="19" t="s">
        <v>770</v>
      </c>
    </row>
    <row r="66" customFormat="false" ht="15" hidden="false" customHeight="true" outlineLevel="0" collapsed="false">
      <c r="A66" s="26" t="s">
        <v>769</v>
      </c>
      <c r="B66" s="19" t="s">
        <v>457</v>
      </c>
      <c r="C66" s="19" t="str">
        <f aca="false">INDEX('3 Mock CerviScan'!$F$3:$F$302,MATCH(B66,'3 Mock CerviScan'!$B$3:$B$302,0))</f>
        <v>P-0064</v>
      </c>
      <c r="D66" s="19" t="str">
        <f aca="false">IFERROR(AVERAGEIFS('3 Mock CerviScan'!$E$3:$E$302,'3 Mock CerviScan'!$B$3:$B$302,$B66,'3 Mock CerviScan'!$C$3:$C$302,"HPV16"),"")</f>
        <v/>
      </c>
      <c r="E66" s="19" t="str">
        <f aca="false">IFERROR(AVERAGEIFS('3 Mock CerviScan'!$E$3:$E$302,'3 Mock CerviScan'!$B$3:$B$302,$B66,'3 Mock CerviScan'!$C$3:$C$302,"HPV18"),"")</f>
        <v/>
      </c>
      <c r="F66" s="19" t="str">
        <f aca="false">IFERROR(AVERAGEIFS('3 Mock CerviScan'!$E$3:$E$302,'3 Mock CerviScan'!$B$3:$B$302,$B66,'3 Mock CerviScan'!$C$3:$C$302,"HPV52"),"")</f>
        <v/>
      </c>
      <c r="G66" s="19" t="str">
        <f aca="false">IFERROR(AVERAGEIFS('3 Mock CerviScan'!$E$3:$E$302,'3 Mock CerviScan'!$B$3:$B$302,$B66,'3 Mock CerviScan'!$C$3:$C$302,"HR lain (11 tipe)"),"")</f>
        <v/>
      </c>
      <c r="H66" s="19" t="n">
        <f aca="false">IFERROR(AVERAGEIFS('3 Mock CerviScan'!$E$3:$E$302,'3 Mock CerviScan'!$B$3:$B$302,$B66,'3 Mock CerviScan'!$C$3:$C$302,"Beta-globin (IC)"),"")</f>
        <v>29.5</v>
      </c>
      <c r="I66" s="19" t="str">
        <f aca="false">IF(L66="Tidak","Invalid",IF(AND(ISNUMBER(D66),D66&lt;'Baca Dulu'!$B$13),"Positif","Negatif"))</f>
        <v>Negatif</v>
      </c>
      <c r="J66" s="19" t="str">
        <f aca="false">IF(L66="Tidak","Invalid",IF(AND(ISNUMBER(E66),E66&lt;'Baca Dulu'!$B$13),"Positif","Negatif"))</f>
        <v>Negatif</v>
      </c>
      <c r="K66" s="19" t="str">
        <f aca="false">IF(L66="Tidak","Invalid",IF(OR(AND(ISNUMBER(F66),F66&lt;'Baca Dulu'!$B$13),AND(ISNUMBER(G66),G66&lt;'Baca Dulu'!$B$13)),"Positif","Negatif"))</f>
        <v>Negatif</v>
      </c>
      <c r="L66" s="19" t="str">
        <f aca="false">IF(AND(ISNUMBER(H66),H66&lt;='Baca Dulu'!$B$14),"Ya","Tidak")</f>
        <v>Ya</v>
      </c>
      <c r="M66" s="19" t="str">
        <f aca="false">IF(L66="Tidak","Invalid",IF(OR(I66="Positif",J66="Positif"),"Positif 16/18",IF(K66="Positif","Positif lain","Negatif")))</f>
        <v>Negatif</v>
      </c>
      <c r="N66" s="24" t="str">
        <f aca="false">IF(AND(L66="Ya",COUNT(D66:G66)&gt;0),MIN(D66:G66)-H66,"")</f>
        <v/>
      </c>
      <c r="O66" s="25" t="n">
        <f aca="false">INDEX('3 Mock CerviScan'!$H$3:$H$302,MATCH(B66,'3 Mock CerviScan'!$B$3:$B$302,0))</f>
        <v>46310</v>
      </c>
      <c r="P66" s="19" t="s">
        <v>770</v>
      </c>
    </row>
    <row r="67" customFormat="false" ht="15" hidden="false" customHeight="true" outlineLevel="0" collapsed="false">
      <c r="A67" s="26" t="s">
        <v>769</v>
      </c>
      <c r="B67" s="19" t="s">
        <v>460</v>
      </c>
      <c r="C67" s="19" t="str">
        <f aca="false">INDEX('3 Mock CerviScan'!$F$3:$F$302,MATCH(B67,'3 Mock CerviScan'!$B$3:$B$302,0))</f>
        <v>P-0065</v>
      </c>
      <c r="D67" s="19" t="str">
        <f aca="false">IFERROR(AVERAGEIFS('3 Mock CerviScan'!$E$3:$E$302,'3 Mock CerviScan'!$B$3:$B$302,$B67,'3 Mock CerviScan'!$C$3:$C$302,"HPV16"),"")</f>
        <v/>
      </c>
      <c r="E67" s="19" t="str">
        <f aca="false">IFERROR(AVERAGEIFS('3 Mock CerviScan'!$E$3:$E$302,'3 Mock CerviScan'!$B$3:$B$302,$B67,'3 Mock CerviScan'!$C$3:$C$302,"HPV18"),"")</f>
        <v/>
      </c>
      <c r="F67" s="19" t="str">
        <f aca="false">IFERROR(AVERAGEIFS('3 Mock CerviScan'!$E$3:$E$302,'3 Mock CerviScan'!$B$3:$B$302,$B67,'3 Mock CerviScan'!$C$3:$C$302,"HPV52"),"")</f>
        <v/>
      </c>
      <c r="G67" s="19" t="str">
        <f aca="false">IFERROR(AVERAGEIFS('3 Mock CerviScan'!$E$3:$E$302,'3 Mock CerviScan'!$B$3:$B$302,$B67,'3 Mock CerviScan'!$C$3:$C$302,"HR lain (11 tipe)"),"")</f>
        <v/>
      </c>
      <c r="H67" s="19" t="n">
        <f aca="false">IFERROR(AVERAGEIFS('3 Mock CerviScan'!$E$3:$E$302,'3 Mock CerviScan'!$B$3:$B$302,$B67,'3 Mock CerviScan'!$C$3:$C$302,"Beta-globin (IC)"),"")</f>
        <v>29.6</v>
      </c>
      <c r="I67" s="19" t="str">
        <f aca="false">IF(L67="Tidak","Invalid",IF(AND(ISNUMBER(D67),D67&lt;'Baca Dulu'!$B$13),"Positif","Negatif"))</f>
        <v>Negatif</v>
      </c>
      <c r="J67" s="19" t="str">
        <f aca="false">IF(L67="Tidak","Invalid",IF(AND(ISNUMBER(E67),E67&lt;'Baca Dulu'!$B$13),"Positif","Negatif"))</f>
        <v>Negatif</v>
      </c>
      <c r="K67" s="19" t="str">
        <f aca="false">IF(L67="Tidak","Invalid",IF(OR(AND(ISNUMBER(F67),F67&lt;'Baca Dulu'!$B$13),AND(ISNUMBER(G67),G67&lt;'Baca Dulu'!$B$13)),"Positif","Negatif"))</f>
        <v>Negatif</v>
      </c>
      <c r="L67" s="19" t="str">
        <f aca="false">IF(AND(ISNUMBER(H67),H67&lt;='Baca Dulu'!$B$14),"Ya","Tidak")</f>
        <v>Ya</v>
      </c>
      <c r="M67" s="19" t="str">
        <f aca="false">IF(L67="Tidak","Invalid",IF(OR(I67="Positif",J67="Positif"),"Positif 16/18",IF(K67="Positif","Positif lain","Negatif")))</f>
        <v>Negatif</v>
      </c>
      <c r="N67" s="24" t="str">
        <f aca="false">IF(AND(L67="Ya",COUNT(D67:G67)&gt;0),MIN(D67:G67)-H67,"")</f>
        <v/>
      </c>
      <c r="O67" s="25" t="n">
        <f aca="false">INDEX('3 Mock CerviScan'!$H$3:$H$302,MATCH(B67,'3 Mock CerviScan'!$B$3:$B$302,0))</f>
        <v>46305</v>
      </c>
      <c r="P67" s="19" t="s">
        <v>770</v>
      </c>
    </row>
    <row r="68" customFormat="false" ht="15" hidden="false" customHeight="true" outlineLevel="0" collapsed="false">
      <c r="A68" s="26" t="s">
        <v>769</v>
      </c>
      <c r="B68" s="19" t="s">
        <v>463</v>
      </c>
      <c r="C68" s="19" t="str">
        <f aca="false">INDEX('3 Mock CerviScan'!$F$3:$F$302,MATCH(B68,'3 Mock CerviScan'!$B$3:$B$302,0))</f>
        <v>P-0066</v>
      </c>
      <c r="D68" s="19" t="str">
        <f aca="false">IFERROR(AVERAGEIFS('3 Mock CerviScan'!$E$3:$E$302,'3 Mock CerviScan'!$B$3:$B$302,$B68,'3 Mock CerviScan'!$C$3:$C$302,"HPV16"),"")</f>
        <v/>
      </c>
      <c r="E68" s="19" t="str">
        <f aca="false">IFERROR(AVERAGEIFS('3 Mock CerviScan'!$E$3:$E$302,'3 Mock CerviScan'!$B$3:$B$302,$B68,'3 Mock CerviScan'!$C$3:$C$302,"HPV18"),"")</f>
        <v/>
      </c>
      <c r="F68" s="19" t="str">
        <f aca="false">IFERROR(AVERAGEIFS('3 Mock CerviScan'!$E$3:$E$302,'3 Mock CerviScan'!$B$3:$B$302,$B68,'3 Mock CerviScan'!$C$3:$C$302,"HPV52"),"")</f>
        <v/>
      </c>
      <c r="G68" s="19" t="str">
        <f aca="false">IFERROR(AVERAGEIFS('3 Mock CerviScan'!$E$3:$E$302,'3 Mock CerviScan'!$B$3:$B$302,$B68,'3 Mock CerviScan'!$C$3:$C$302,"HR lain (11 tipe)"),"")</f>
        <v/>
      </c>
      <c r="H68" s="19" t="n">
        <f aca="false">IFERROR(AVERAGEIFS('3 Mock CerviScan'!$E$3:$E$302,'3 Mock CerviScan'!$B$3:$B$302,$B68,'3 Mock CerviScan'!$C$3:$C$302,"Beta-globin (IC)"),"")</f>
        <v>29.8</v>
      </c>
      <c r="I68" s="19" t="str">
        <f aca="false">IF(L68="Tidak","Invalid",IF(AND(ISNUMBER(D68),D68&lt;'Baca Dulu'!$B$13),"Positif","Negatif"))</f>
        <v>Negatif</v>
      </c>
      <c r="J68" s="19" t="str">
        <f aca="false">IF(L68="Tidak","Invalid",IF(AND(ISNUMBER(E68),E68&lt;'Baca Dulu'!$B$13),"Positif","Negatif"))</f>
        <v>Negatif</v>
      </c>
      <c r="K68" s="19" t="str">
        <f aca="false">IF(L68="Tidak","Invalid",IF(OR(AND(ISNUMBER(F68),F68&lt;'Baca Dulu'!$B$13),AND(ISNUMBER(G68),G68&lt;'Baca Dulu'!$B$13)),"Positif","Negatif"))</f>
        <v>Negatif</v>
      </c>
      <c r="L68" s="19" t="str">
        <f aca="false">IF(AND(ISNUMBER(H68),H68&lt;='Baca Dulu'!$B$14),"Ya","Tidak")</f>
        <v>Ya</v>
      </c>
      <c r="M68" s="19" t="str">
        <f aca="false">IF(L68="Tidak","Invalid",IF(OR(I68="Positif",J68="Positif"),"Positif 16/18",IF(K68="Positif","Positif lain","Negatif")))</f>
        <v>Negatif</v>
      </c>
      <c r="N68" s="24" t="str">
        <f aca="false">IF(AND(L68="Ya",COUNT(D68:G68)&gt;0),MIN(D68:G68)-H68,"")</f>
        <v/>
      </c>
      <c r="O68" s="25" t="n">
        <f aca="false">INDEX('3 Mock CerviScan'!$H$3:$H$302,MATCH(B68,'3 Mock CerviScan'!$B$3:$B$302,0))</f>
        <v>46313</v>
      </c>
      <c r="P68" s="19" t="s">
        <v>770</v>
      </c>
    </row>
    <row r="69" customFormat="false" ht="15" hidden="false" customHeight="true" outlineLevel="0" collapsed="false">
      <c r="A69" s="26" t="s">
        <v>769</v>
      </c>
      <c r="B69" s="19" t="s">
        <v>467</v>
      </c>
      <c r="C69" s="19" t="str">
        <f aca="false">INDEX('3 Mock CerviScan'!$F$3:$F$302,MATCH(B69,'3 Mock CerviScan'!$B$3:$B$302,0))</f>
        <v>P-0067</v>
      </c>
      <c r="D69" s="19" t="str">
        <f aca="false">IFERROR(AVERAGEIFS('3 Mock CerviScan'!$E$3:$E$302,'3 Mock CerviScan'!$B$3:$B$302,$B69,'3 Mock CerviScan'!$C$3:$C$302,"HPV16"),"")</f>
        <v/>
      </c>
      <c r="E69" s="19" t="str">
        <f aca="false">IFERROR(AVERAGEIFS('3 Mock CerviScan'!$E$3:$E$302,'3 Mock CerviScan'!$B$3:$B$302,$B69,'3 Mock CerviScan'!$C$3:$C$302,"HPV18"),"")</f>
        <v/>
      </c>
      <c r="F69" s="19" t="str">
        <f aca="false">IFERROR(AVERAGEIFS('3 Mock CerviScan'!$E$3:$E$302,'3 Mock CerviScan'!$B$3:$B$302,$B69,'3 Mock CerviScan'!$C$3:$C$302,"HPV52"),"")</f>
        <v/>
      </c>
      <c r="G69" s="19" t="str">
        <f aca="false">IFERROR(AVERAGEIFS('3 Mock CerviScan'!$E$3:$E$302,'3 Mock CerviScan'!$B$3:$B$302,$B69,'3 Mock CerviScan'!$C$3:$C$302,"HR lain (11 tipe)"),"")</f>
        <v/>
      </c>
      <c r="H69" s="19" t="n">
        <f aca="false">IFERROR(AVERAGEIFS('3 Mock CerviScan'!$E$3:$E$302,'3 Mock CerviScan'!$B$3:$B$302,$B69,'3 Mock CerviScan'!$C$3:$C$302,"Beta-globin (IC)"),"")</f>
        <v>28.1</v>
      </c>
      <c r="I69" s="19" t="str">
        <f aca="false">IF(L69="Tidak","Invalid",IF(AND(ISNUMBER(D69),D69&lt;'Baca Dulu'!$B$13),"Positif","Negatif"))</f>
        <v>Negatif</v>
      </c>
      <c r="J69" s="19" t="str">
        <f aca="false">IF(L69="Tidak","Invalid",IF(AND(ISNUMBER(E69),E69&lt;'Baca Dulu'!$B$13),"Positif","Negatif"))</f>
        <v>Negatif</v>
      </c>
      <c r="K69" s="19" t="str">
        <f aca="false">IF(L69="Tidak","Invalid",IF(OR(AND(ISNUMBER(F69),F69&lt;'Baca Dulu'!$B$13),AND(ISNUMBER(G69),G69&lt;'Baca Dulu'!$B$13)),"Positif","Negatif"))</f>
        <v>Negatif</v>
      </c>
      <c r="L69" s="19" t="str">
        <f aca="false">IF(AND(ISNUMBER(H69),H69&lt;='Baca Dulu'!$B$14),"Ya","Tidak")</f>
        <v>Ya</v>
      </c>
      <c r="M69" s="19" t="str">
        <f aca="false">IF(L69="Tidak","Invalid",IF(OR(I69="Positif",J69="Positif"),"Positif 16/18",IF(K69="Positif","Positif lain","Negatif")))</f>
        <v>Negatif</v>
      </c>
      <c r="N69" s="24" t="str">
        <f aca="false">IF(AND(L69="Ya",COUNT(D69:G69)&gt;0),MIN(D69:G69)-H69,"")</f>
        <v/>
      </c>
      <c r="O69" s="25" t="n">
        <f aca="false">INDEX('3 Mock CerviScan'!$H$3:$H$302,MATCH(B69,'3 Mock CerviScan'!$B$3:$B$302,0))</f>
        <v>46306</v>
      </c>
      <c r="P69" s="19" t="s">
        <v>770</v>
      </c>
    </row>
    <row r="70" customFormat="false" ht="15" hidden="false" customHeight="true" outlineLevel="0" collapsed="false">
      <c r="A70" s="26" t="s">
        <v>769</v>
      </c>
      <c r="B70" s="19" t="s">
        <v>470</v>
      </c>
      <c r="C70" s="19" t="str">
        <f aca="false">INDEX('3 Mock CerviScan'!$F$3:$F$302,MATCH(B70,'3 Mock CerviScan'!$B$3:$B$302,0))</f>
        <v>P-0068</v>
      </c>
      <c r="D70" s="19" t="str">
        <f aca="false">IFERROR(AVERAGEIFS('3 Mock CerviScan'!$E$3:$E$302,'3 Mock CerviScan'!$B$3:$B$302,$B70,'3 Mock CerviScan'!$C$3:$C$302,"HPV16"),"")</f>
        <v/>
      </c>
      <c r="E70" s="19" t="str">
        <f aca="false">IFERROR(AVERAGEIFS('3 Mock CerviScan'!$E$3:$E$302,'3 Mock CerviScan'!$B$3:$B$302,$B70,'3 Mock CerviScan'!$C$3:$C$302,"HPV18"),"")</f>
        <v/>
      </c>
      <c r="F70" s="19" t="str">
        <f aca="false">IFERROR(AVERAGEIFS('3 Mock CerviScan'!$E$3:$E$302,'3 Mock CerviScan'!$B$3:$B$302,$B70,'3 Mock CerviScan'!$C$3:$C$302,"HPV52"),"")</f>
        <v/>
      </c>
      <c r="G70" s="19" t="n">
        <f aca="false">IFERROR(AVERAGEIFS('3 Mock CerviScan'!$E$3:$E$302,'3 Mock CerviScan'!$B$3:$B$302,$B70,'3 Mock CerviScan'!$C$3:$C$302,"HR lain (11 tipe)"),"")</f>
        <v>23.5</v>
      </c>
      <c r="H70" s="19" t="n">
        <f aca="false">IFERROR(AVERAGEIFS('3 Mock CerviScan'!$E$3:$E$302,'3 Mock CerviScan'!$B$3:$B$302,$B70,'3 Mock CerviScan'!$C$3:$C$302,"Beta-globin (IC)"),"")</f>
        <v>27.6</v>
      </c>
      <c r="I70" s="19" t="str">
        <f aca="false">IF(L70="Tidak","Invalid",IF(AND(ISNUMBER(D70),D70&lt;'Baca Dulu'!$B$13),"Positif","Negatif"))</f>
        <v>Negatif</v>
      </c>
      <c r="J70" s="19" t="str">
        <f aca="false">IF(L70="Tidak","Invalid",IF(AND(ISNUMBER(E70),E70&lt;'Baca Dulu'!$B$13),"Positif","Negatif"))</f>
        <v>Negatif</v>
      </c>
      <c r="K70" s="19" t="str">
        <f aca="false">IF(L70="Tidak","Invalid",IF(OR(AND(ISNUMBER(F70),F70&lt;'Baca Dulu'!$B$13),AND(ISNUMBER(G70),G70&lt;'Baca Dulu'!$B$13)),"Positif","Negatif"))</f>
        <v>Positif</v>
      </c>
      <c r="L70" s="19" t="str">
        <f aca="false">IF(AND(ISNUMBER(H70),H70&lt;='Baca Dulu'!$B$14),"Ya","Tidak")</f>
        <v>Ya</v>
      </c>
      <c r="M70" s="19" t="str">
        <f aca="false">IF(L70="Tidak","Invalid",IF(OR(I70="Positif",J70="Positif"),"Positif 16/18",IF(K70="Positif","Positif lain","Negatif")))</f>
        <v>Positif lain</v>
      </c>
      <c r="N70" s="24" t="n">
        <f aca="false">IF(AND(L70="Ya",COUNT(D70:G70)&gt;0),MIN(D70:G70)-H70,"")</f>
        <v>-4.1</v>
      </c>
      <c r="O70" s="25" t="n">
        <f aca="false">INDEX('3 Mock CerviScan'!$H$3:$H$302,MATCH(B70,'3 Mock CerviScan'!$B$3:$B$302,0))</f>
        <v>46311</v>
      </c>
      <c r="P70" s="19" t="s">
        <v>770</v>
      </c>
    </row>
    <row r="71" customFormat="false" ht="15" hidden="false" customHeight="true" outlineLevel="0" collapsed="false">
      <c r="A71" s="26" t="s">
        <v>769</v>
      </c>
      <c r="B71" s="19" t="s">
        <v>473</v>
      </c>
      <c r="C71" s="19" t="str">
        <f aca="false">INDEX('3 Mock CerviScan'!$F$3:$F$302,MATCH(B71,'3 Mock CerviScan'!$B$3:$B$302,0))</f>
        <v>P-0069</v>
      </c>
      <c r="D71" s="19" t="str">
        <f aca="false">IFERROR(AVERAGEIFS('3 Mock CerviScan'!$E$3:$E$302,'3 Mock CerviScan'!$B$3:$B$302,$B71,'3 Mock CerviScan'!$C$3:$C$302,"HPV16"),"")</f>
        <v/>
      </c>
      <c r="E71" s="19" t="str">
        <f aca="false">IFERROR(AVERAGEIFS('3 Mock CerviScan'!$E$3:$E$302,'3 Mock CerviScan'!$B$3:$B$302,$B71,'3 Mock CerviScan'!$C$3:$C$302,"HPV18"),"")</f>
        <v/>
      </c>
      <c r="F71" s="19" t="str">
        <f aca="false">IFERROR(AVERAGEIFS('3 Mock CerviScan'!$E$3:$E$302,'3 Mock CerviScan'!$B$3:$B$302,$B71,'3 Mock CerviScan'!$C$3:$C$302,"HPV52"),"")</f>
        <v/>
      </c>
      <c r="G71" s="19" t="str">
        <f aca="false">IFERROR(AVERAGEIFS('3 Mock CerviScan'!$E$3:$E$302,'3 Mock CerviScan'!$B$3:$B$302,$B71,'3 Mock CerviScan'!$C$3:$C$302,"HR lain (11 tipe)"),"")</f>
        <v/>
      </c>
      <c r="H71" s="19" t="n">
        <f aca="false">IFERROR(AVERAGEIFS('3 Mock CerviScan'!$E$3:$E$302,'3 Mock CerviScan'!$B$3:$B$302,$B71,'3 Mock CerviScan'!$C$3:$C$302,"Beta-globin (IC)"),"")</f>
        <v>27.4</v>
      </c>
      <c r="I71" s="19" t="str">
        <f aca="false">IF(L71="Tidak","Invalid",IF(AND(ISNUMBER(D71),D71&lt;'Baca Dulu'!$B$13),"Positif","Negatif"))</f>
        <v>Negatif</v>
      </c>
      <c r="J71" s="19" t="str">
        <f aca="false">IF(L71="Tidak","Invalid",IF(AND(ISNUMBER(E71),E71&lt;'Baca Dulu'!$B$13),"Positif","Negatif"))</f>
        <v>Negatif</v>
      </c>
      <c r="K71" s="19" t="str">
        <f aca="false">IF(L71="Tidak","Invalid",IF(OR(AND(ISNUMBER(F71),F71&lt;'Baca Dulu'!$B$13),AND(ISNUMBER(G71),G71&lt;'Baca Dulu'!$B$13)),"Positif","Negatif"))</f>
        <v>Negatif</v>
      </c>
      <c r="L71" s="19" t="str">
        <f aca="false">IF(AND(ISNUMBER(H71),H71&lt;='Baca Dulu'!$B$14),"Ya","Tidak")</f>
        <v>Ya</v>
      </c>
      <c r="M71" s="19" t="str">
        <f aca="false">IF(L71="Tidak","Invalid",IF(OR(I71="Positif",J71="Positif"),"Positif 16/18",IF(K71="Positif","Positif lain","Negatif")))</f>
        <v>Negatif</v>
      </c>
      <c r="N71" s="24" t="str">
        <f aca="false">IF(AND(L71="Ya",COUNT(D71:G71)&gt;0),MIN(D71:G71)-H71,"")</f>
        <v/>
      </c>
      <c r="O71" s="25" t="n">
        <f aca="false">INDEX('3 Mock CerviScan'!$H$3:$H$302,MATCH(B71,'3 Mock CerviScan'!$B$3:$B$302,0))</f>
        <v>46310</v>
      </c>
      <c r="P71" s="19" t="s">
        <v>770</v>
      </c>
    </row>
    <row r="72" customFormat="false" ht="15" hidden="false" customHeight="true" outlineLevel="0" collapsed="false">
      <c r="A72" s="26" t="s">
        <v>769</v>
      </c>
      <c r="B72" s="19" t="s">
        <v>476</v>
      </c>
      <c r="C72" s="19" t="str">
        <f aca="false">INDEX('3 Mock CerviScan'!$F$3:$F$302,MATCH(B72,'3 Mock CerviScan'!$B$3:$B$302,0))</f>
        <v>P-0070</v>
      </c>
      <c r="D72" s="19" t="str">
        <f aca="false">IFERROR(AVERAGEIFS('3 Mock CerviScan'!$E$3:$E$302,'3 Mock CerviScan'!$B$3:$B$302,$B72,'3 Mock CerviScan'!$C$3:$C$302,"HPV16"),"")</f>
        <v/>
      </c>
      <c r="E72" s="19" t="str">
        <f aca="false">IFERROR(AVERAGEIFS('3 Mock CerviScan'!$E$3:$E$302,'3 Mock CerviScan'!$B$3:$B$302,$B72,'3 Mock CerviScan'!$C$3:$C$302,"HPV18"),"")</f>
        <v/>
      </c>
      <c r="F72" s="19" t="str">
        <f aca="false">IFERROR(AVERAGEIFS('3 Mock CerviScan'!$E$3:$E$302,'3 Mock CerviScan'!$B$3:$B$302,$B72,'3 Mock CerviScan'!$C$3:$C$302,"HPV52"),"")</f>
        <v/>
      </c>
      <c r="G72" s="19" t="str">
        <f aca="false">IFERROR(AVERAGEIFS('3 Mock CerviScan'!$E$3:$E$302,'3 Mock CerviScan'!$B$3:$B$302,$B72,'3 Mock CerviScan'!$C$3:$C$302,"HR lain (11 tipe)"),"")</f>
        <v/>
      </c>
      <c r="H72" s="19" t="n">
        <f aca="false">IFERROR(AVERAGEIFS('3 Mock CerviScan'!$E$3:$E$302,'3 Mock CerviScan'!$B$3:$B$302,$B72,'3 Mock CerviScan'!$C$3:$C$302,"Beta-globin (IC)"),"")</f>
        <v>26.2</v>
      </c>
      <c r="I72" s="19" t="str">
        <f aca="false">IF(L72="Tidak","Invalid",IF(AND(ISNUMBER(D72),D72&lt;'Baca Dulu'!$B$13),"Positif","Negatif"))</f>
        <v>Negatif</v>
      </c>
      <c r="J72" s="19" t="str">
        <f aca="false">IF(L72="Tidak","Invalid",IF(AND(ISNUMBER(E72),E72&lt;'Baca Dulu'!$B$13),"Positif","Negatif"))</f>
        <v>Negatif</v>
      </c>
      <c r="K72" s="19" t="str">
        <f aca="false">IF(L72="Tidak","Invalid",IF(OR(AND(ISNUMBER(F72),F72&lt;'Baca Dulu'!$B$13),AND(ISNUMBER(G72),G72&lt;'Baca Dulu'!$B$13)),"Positif","Negatif"))</f>
        <v>Negatif</v>
      </c>
      <c r="L72" s="19" t="str">
        <f aca="false">IF(AND(ISNUMBER(H72),H72&lt;='Baca Dulu'!$B$14),"Ya","Tidak")</f>
        <v>Ya</v>
      </c>
      <c r="M72" s="19" t="str">
        <f aca="false">IF(L72="Tidak","Invalid",IF(OR(I72="Positif",J72="Positif"),"Positif 16/18",IF(K72="Positif","Positif lain","Negatif")))</f>
        <v>Negatif</v>
      </c>
      <c r="N72" s="24" t="str">
        <f aca="false">IF(AND(L72="Ya",COUNT(D72:G72)&gt;0),MIN(D72:G72)-H72,"")</f>
        <v/>
      </c>
      <c r="O72" s="25" t="n">
        <f aca="false">INDEX('3 Mock CerviScan'!$H$3:$H$302,MATCH(B72,'3 Mock CerviScan'!$B$3:$B$302,0))</f>
        <v>46310</v>
      </c>
      <c r="P72" s="19" t="s">
        <v>770</v>
      </c>
    </row>
    <row r="73" customFormat="false" ht="15" hidden="false" customHeight="true" outlineLevel="0" collapsed="false">
      <c r="A73" s="26" t="s">
        <v>769</v>
      </c>
      <c r="B73" s="19" t="s">
        <v>479</v>
      </c>
      <c r="C73" s="19" t="str">
        <f aca="false">INDEX('3 Mock CerviScan'!$F$3:$F$302,MATCH(B73,'3 Mock CerviScan'!$B$3:$B$302,0))</f>
        <v>P-0071</v>
      </c>
      <c r="D73" s="19" t="str">
        <f aca="false">IFERROR(AVERAGEIFS('3 Mock CerviScan'!$E$3:$E$302,'3 Mock CerviScan'!$B$3:$B$302,$B73,'3 Mock CerviScan'!$C$3:$C$302,"HPV16"),"")</f>
        <v/>
      </c>
      <c r="E73" s="19" t="str">
        <f aca="false">IFERROR(AVERAGEIFS('3 Mock CerviScan'!$E$3:$E$302,'3 Mock CerviScan'!$B$3:$B$302,$B73,'3 Mock CerviScan'!$C$3:$C$302,"HPV18"),"")</f>
        <v/>
      </c>
      <c r="F73" s="19" t="str">
        <f aca="false">IFERROR(AVERAGEIFS('3 Mock CerviScan'!$E$3:$E$302,'3 Mock CerviScan'!$B$3:$B$302,$B73,'3 Mock CerviScan'!$C$3:$C$302,"HPV52"),"")</f>
        <v/>
      </c>
      <c r="G73" s="19" t="str">
        <f aca="false">IFERROR(AVERAGEIFS('3 Mock CerviScan'!$E$3:$E$302,'3 Mock CerviScan'!$B$3:$B$302,$B73,'3 Mock CerviScan'!$C$3:$C$302,"HR lain (11 tipe)"),"")</f>
        <v/>
      </c>
      <c r="H73" s="19" t="n">
        <f aca="false">IFERROR(AVERAGEIFS('3 Mock CerviScan'!$E$3:$E$302,'3 Mock CerviScan'!$B$3:$B$302,$B73,'3 Mock CerviScan'!$C$3:$C$302,"Beta-globin (IC)"),"")</f>
        <v>36.9</v>
      </c>
      <c r="I73" s="19" t="str">
        <f aca="false">IF(L73="Tidak","Invalid",IF(AND(ISNUMBER(D73),D73&lt;'Baca Dulu'!$B$13),"Positif","Negatif"))</f>
        <v>Invalid</v>
      </c>
      <c r="J73" s="19" t="str">
        <f aca="false">IF(L73="Tidak","Invalid",IF(AND(ISNUMBER(E73),E73&lt;'Baca Dulu'!$B$13),"Positif","Negatif"))</f>
        <v>Invalid</v>
      </c>
      <c r="K73" s="19" t="str">
        <f aca="false">IF(L73="Tidak","Invalid",IF(OR(AND(ISNUMBER(F73),F73&lt;'Baca Dulu'!$B$13),AND(ISNUMBER(G73),G73&lt;'Baca Dulu'!$B$13)),"Positif","Negatif"))</f>
        <v>Invalid</v>
      </c>
      <c r="L73" s="19" t="str">
        <f aca="false">IF(AND(ISNUMBER(H73),H73&lt;='Baca Dulu'!$B$14),"Ya","Tidak")</f>
        <v>Tidak</v>
      </c>
      <c r="M73" s="19" t="str">
        <f aca="false">IF(L73="Tidak","Invalid",IF(OR(I73="Positif",J73="Positif"),"Positif 16/18",IF(K73="Positif","Positif lain","Negatif")))</f>
        <v>Invalid</v>
      </c>
      <c r="N73" s="24" t="str">
        <f aca="false">IF(AND(L73="Ya",COUNT(D73:G73)&gt;0),MIN(D73:G73)-H73,"")</f>
        <v/>
      </c>
      <c r="O73" s="25" t="n">
        <f aca="false">INDEX('3 Mock CerviScan'!$H$3:$H$302,MATCH(B73,'3 Mock CerviScan'!$B$3:$B$302,0))</f>
        <v>46305</v>
      </c>
      <c r="P73" s="19" t="s">
        <v>770</v>
      </c>
    </row>
    <row r="74" customFormat="false" ht="15" hidden="false" customHeight="true" outlineLevel="0" collapsed="false">
      <c r="A74" s="26" t="s">
        <v>769</v>
      </c>
      <c r="B74" s="19" t="s">
        <v>482</v>
      </c>
      <c r="C74" s="19" t="str">
        <f aca="false">INDEX('3 Mock CerviScan'!$F$3:$F$302,MATCH(B74,'3 Mock CerviScan'!$B$3:$B$302,0))</f>
        <v>P-0072</v>
      </c>
      <c r="D74" s="19" t="str">
        <f aca="false">IFERROR(AVERAGEIFS('3 Mock CerviScan'!$E$3:$E$302,'3 Mock CerviScan'!$B$3:$B$302,$B74,'3 Mock CerviScan'!$C$3:$C$302,"HPV16"),"")</f>
        <v/>
      </c>
      <c r="E74" s="19" t="str">
        <f aca="false">IFERROR(AVERAGEIFS('3 Mock CerviScan'!$E$3:$E$302,'3 Mock CerviScan'!$B$3:$B$302,$B74,'3 Mock CerviScan'!$C$3:$C$302,"HPV18"),"")</f>
        <v/>
      </c>
      <c r="F74" s="19" t="str">
        <f aca="false">IFERROR(AVERAGEIFS('3 Mock CerviScan'!$E$3:$E$302,'3 Mock CerviScan'!$B$3:$B$302,$B74,'3 Mock CerviScan'!$C$3:$C$302,"HPV52"),"")</f>
        <v/>
      </c>
      <c r="G74" s="19" t="str">
        <f aca="false">IFERROR(AVERAGEIFS('3 Mock CerviScan'!$E$3:$E$302,'3 Mock CerviScan'!$B$3:$B$302,$B74,'3 Mock CerviScan'!$C$3:$C$302,"HR lain (11 tipe)"),"")</f>
        <v/>
      </c>
      <c r="H74" s="19" t="n">
        <f aca="false">IFERROR(AVERAGEIFS('3 Mock CerviScan'!$E$3:$E$302,'3 Mock CerviScan'!$B$3:$B$302,$B74,'3 Mock CerviScan'!$C$3:$C$302,"Beta-globin (IC)"),"")</f>
        <v>29.7</v>
      </c>
      <c r="I74" s="19" t="str">
        <f aca="false">IF(L74="Tidak","Invalid",IF(AND(ISNUMBER(D74),D74&lt;'Baca Dulu'!$B$13),"Positif","Negatif"))</f>
        <v>Negatif</v>
      </c>
      <c r="J74" s="19" t="str">
        <f aca="false">IF(L74="Tidak","Invalid",IF(AND(ISNUMBER(E74),E74&lt;'Baca Dulu'!$B$13),"Positif","Negatif"))</f>
        <v>Negatif</v>
      </c>
      <c r="K74" s="19" t="str">
        <f aca="false">IF(L74="Tidak","Invalid",IF(OR(AND(ISNUMBER(F74),F74&lt;'Baca Dulu'!$B$13),AND(ISNUMBER(G74),G74&lt;'Baca Dulu'!$B$13)),"Positif","Negatif"))</f>
        <v>Negatif</v>
      </c>
      <c r="L74" s="19" t="str">
        <f aca="false">IF(AND(ISNUMBER(H74),H74&lt;='Baca Dulu'!$B$14),"Ya","Tidak")</f>
        <v>Ya</v>
      </c>
      <c r="M74" s="19" t="str">
        <f aca="false">IF(L74="Tidak","Invalid",IF(OR(I74="Positif",J74="Positif"),"Positif 16/18",IF(K74="Positif","Positif lain","Negatif")))</f>
        <v>Negatif</v>
      </c>
      <c r="N74" s="24" t="str">
        <f aca="false">IF(AND(L74="Ya",COUNT(D74:G74)&gt;0),MIN(D74:G74)-H74,"")</f>
        <v/>
      </c>
      <c r="O74" s="25" t="n">
        <f aca="false">INDEX('3 Mock CerviScan'!$H$3:$H$302,MATCH(B74,'3 Mock CerviScan'!$B$3:$B$302,0))</f>
        <v>46306</v>
      </c>
      <c r="P74" s="19" t="s">
        <v>770</v>
      </c>
    </row>
    <row r="75" customFormat="false" ht="15" hidden="false" customHeight="true" outlineLevel="0" collapsed="false">
      <c r="A75" s="26" t="s">
        <v>769</v>
      </c>
      <c r="B75" s="19" t="s">
        <v>485</v>
      </c>
      <c r="C75" s="19" t="str">
        <f aca="false">INDEX('3 Mock CerviScan'!$F$3:$F$302,MATCH(B75,'3 Mock CerviScan'!$B$3:$B$302,0))</f>
        <v>P-0073</v>
      </c>
      <c r="D75" s="19" t="n">
        <f aca="false">IFERROR(AVERAGEIFS('3 Mock CerviScan'!$E$3:$E$302,'3 Mock CerviScan'!$B$3:$B$302,$B75,'3 Mock CerviScan'!$C$3:$C$302,"HPV16"),"")</f>
        <v>24.4</v>
      </c>
      <c r="E75" s="19" t="str">
        <f aca="false">IFERROR(AVERAGEIFS('3 Mock CerviScan'!$E$3:$E$302,'3 Mock CerviScan'!$B$3:$B$302,$B75,'3 Mock CerviScan'!$C$3:$C$302,"HPV18"),"")</f>
        <v/>
      </c>
      <c r="F75" s="19" t="str">
        <f aca="false">IFERROR(AVERAGEIFS('3 Mock CerviScan'!$E$3:$E$302,'3 Mock CerviScan'!$B$3:$B$302,$B75,'3 Mock CerviScan'!$C$3:$C$302,"HPV52"),"")</f>
        <v/>
      </c>
      <c r="G75" s="19" t="str">
        <f aca="false">IFERROR(AVERAGEIFS('3 Mock CerviScan'!$E$3:$E$302,'3 Mock CerviScan'!$B$3:$B$302,$B75,'3 Mock CerviScan'!$C$3:$C$302,"HR lain (11 tipe)"),"")</f>
        <v/>
      </c>
      <c r="H75" s="19" t="n">
        <f aca="false">IFERROR(AVERAGEIFS('3 Mock CerviScan'!$E$3:$E$302,'3 Mock CerviScan'!$B$3:$B$302,$B75,'3 Mock CerviScan'!$C$3:$C$302,"Beta-globin (IC)"),"")</f>
        <v>26.8</v>
      </c>
      <c r="I75" s="19" t="str">
        <f aca="false">IF(L75="Tidak","Invalid",IF(AND(ISNUMBER(D75),D75&lt;'Baca Dulu'!$B$13),"Positif","Negatif"))</f>
        <v>Positif</v>
      </c>
      <c r="J75" s="19" t="str">
        <f aca="false">IF(L75="Tidak","Invalid",IF(AND(ISNUMBER(E75),E75&lt;'Baca Dulu'!$B$13),"Positif","Negatif"))</f>
        <v>Negatif</v>
      </c>
      <c r="K75" s="19" t="str">
        <f aca="false">IF(L75="Tidak","Invalid",IF(OR(AND(ISNUMBER(F75),F75&lt;'Baca Dulu'!$B$13),AND(ISNUMBER(G75),G75&lt;'Baca Dulu'!$B$13)),"Positif","Negatif"))</f>
        <v>Negatif</v>
      </c>
      <c r="L75" s="19" t="str">
        <f aca="false">IF(AND(ISNUMBER(H75),H75&lt;='Baca Dulu'!$B$14),"Ya","Tidak")</f>
        <v>Ya</v>
      </c>
      <c r="M75" s="19" t="str">
        <f aca="false">IF(L75="Tidak","Invalid",IF(OR(I75="Positif",J75="Positif"),"Positif 16/18",IF(K75="Positif","Positif lain","Negatif")))</f>
        <v>Positif 16/18</v>
      </c>
      <c r="N75" s="24" t="n">
        <f aca="false">IF(AND(L75="Ya",COUNT(D75:G75)&gt;0),MIN(D75:G75)-H75,"")</f>
        <v>-2.4</v>
      </c>
      <c r="O75" s="25" t="n">
        <f aca="false">INDEX('3 Mock CerviScan'!$H$3:$H$302,MATCH(B75,'3 Mock CerviScan'!$B$3:$B$302,0))</f>
        <v>46307</v>
      </c>
      <c r="P75" s="19" t="s">
        <v>770</v>
      </c>
    </row>
    <row r="76" customFormat="false" ht="15" hidden="false" customHeight="true" outlineLevel="0" collapsed="false">
      <c r="A76" s="26" t="s">
        <v>769</v>
      </c>
      <c r="B76" s="19" t="s">
        <v>488</v>
      </c>
      <c r="C76" s="19" t="str">
        <f aca="false">INDEX('3 Mock CerviScan'!$F$3:$F$302,MATCH(B76,'3 Mock CerviScan'!$B$3:$B$302,0))</f>
        <v>P-0074</v>
      </c>
      <c r="D76" s="19" t="str">
        <f aca="false">IFERROR(AVERAGEIFS('3 Mock CerviScan'!$E$3:$E$302,'3 Mock CerviScan'!$B$3:$B$302,$B76,'3 Mock CerviScan'!$C$3:$C$302,"HPV16"),"")</f>
        <v/>
      </c>
      <c r="E76" s="19" t="str">
        <f aca="false">IFERROR(AVERAGEIFS('3 Mock CerviScan'!$E$3:$E$302,'3 Mock CerviScan'!$B$3:$B$302,$B76,'3 Mock CerviScan'!$C$3:$C$302,"HPV18"),"")</f>
        <v/>
      </c>
      <c r="F76" s="19" t="str">
        <f aca="false">IFERROR(AVERAGEIFS('3 Mock CerviScan'!$E$3:$E$302,'3 Mock CerviScan'!$B$3:$B$302,$B76,'3 Mock CerviScan'!$C$3:$C$302,"HPV52"),"")</f>
        <v/>
      </c>
      <c r="G76" s="19" t="str">
        <f aca="false">IFERROR(AVERAGEIFS('3 Mock CerviScan'!$E$3:$E$302,'3 Mock CerviScan'!$B$3:$B$302,$B76,'3 Mock CerviScan'!$C$3:$C$302,"HR lain (11 tipe)"),"")</f>
        <v/>
      </c>
      <c r="H76" s="19" t="n">
        <f aca="false">IFERROR(AVERAGEIFS('3 Mock CerviScan'!$E$3:$E$302,'3 Mock CerviScan'!$B$3:$B$302,$B76,'3 Mock CerviScan'!$C$3:$C$302,"Beta-globin (IC)"),"")</f>
        <v>26.6</v>
      </c>
      <c r="I76" s="19" t="str">
        <f aca="false">IF(L76="Tidak","Invalid",IF(AND(ISNUMBER(D76),D76&lt;'Baca Dulu'!$B$13),"Positif","Negatif"))</f>
        <v>Negatif</v>
      </c>
      <c r="J76" s="19" t="str">
        <f aca="false">IF(L76="Tidak","Invalid",IF(AND(ISNUMBER(E76),E76&lt;'Baca Dulu'!$B$13),"Positif","Negatif"))</f>
        <v>Negatif</v>
      </c>
      <c r="K76" s="19" t="str">
        <f aca="false">IF(L76="Tidak","Invalid",IF(OR(AND(ISNUMBER(F76),F76&lt;'Baca Dulu'!$B$13),AND(ISNUMBER(G76),G76&lt;'Baca Dulu'!$B$13)),"Positif","Negatif"))</f>
        <v>Negatif</v>
      </c>
      <c r="L76" s="19" t="str">
        <f aca="false">IF(AND(ISNUMBER(H76),H76&lt;='Baca Dulu'!$B$14),"Ya","Tidak")</f>
        <v>Ya</v>
      </c>
      <c r="M76" s="19" t="str">
        <f aca="false">IF(L76="Tidak","Invalid",IF(OR(I76="Positif",J76="Positif"),"Positif 16/18",IF(K76="Positif","Positif lain","Negatif")))</f>
        <v>Negatif</v>
      </c>
      <c r="N76" s="24" t="str">
        <f aca="false">IF(AND(L76="Ya",COUNT(D76:G76)&gt;0),MIN(D76:G76)-H76,"")</f>
        <v/>
      </c>
      <c r="O76" s="25" t="n">
        <f aca="false">INDEX('3 Mock CerviScan'!$H$3:$H$302,MATCH(B76,'3 Mock CerviScan'!$B$3:$B$302,0))</f>
        <v>46305</v>
      </c>
      <c r="P76" s="19" t="s">
        <v>770</v>
      </c>
    </row>
    <row r="77" customFormat="false" ht="15" hidden="false" customHeight="true" outlineLevel="0" collapsed="false">
      <c r="A77" s="26" t="s">
        <v>769</v>
      </c>
      <c r="B77" s="19" t="s">
        <v>491</v>
      </c>
      <c r="C77" s="19" t="str">
        <f aca="false">INDEX('3 Mock CerviScan'!$F$3:$F$302,MATCH(B77,'3 Mock CerviScan'!$B$3:$B$302,0))</f>
        <v>P-0075</v>
      </c>
      <c r="D77" s="19" t="str">
        <f aca="false">IFERROR(AVERAGEIFS('3 Mock CerviScan'!$E$3:$E$302,'3 Mock CerviScan'!$B$3:$B$302,$B77,'3 Mock CerviScan'!$C$3:$C$302,"HPV16"),"")</f>
        <v/>
      </c>
      <c r="E77" s="19" t="str">
        <f aca="false">IFERROR(AVERAGEIFS('3 Mock CerviScan'!$E$3:$E$302,'3 Mock CerviScan'!$B$3:$B$302,$B77,'3 Mock CerviScan'!$C$3:$C$302,"HPV18"),"")</f>
        <v/>
      </c>
      <c r="F77" s="19" t="str">
        <f aca="false">IFERROR(AVERAGEIFS('3 Mock CerviScan'!$E$3:$E$302,'3 Mock CerviScan'!$B$3:$B$302,$B77,'3 Mock CerviScan'!$C$3:$C$302,"HPV52"),"")</f>
        <v/>
      </c>
      <c r="G77" s="19" t="str">
        <f aca="false">IFERROR(AVERAGEIFS('3 Mock CerviScan'!$E$3:$E$302,'3 Mock CerviScan'!$B$3:$B$302,$B77,'3 Mock CerviScan'!$C$3:$C$302,"HR lain (11 tipe)"),"")</f>
        <v/>
      </c>
      <c r="H77" s="19" t="n">
        <f aca="false">IFERROR(AVERAGEIFS('3 Mock CerviScan'!$E$3:$E$302,'3 Mock CerviScan'!$B$3:$B$302,$B77,'3 Mock CerviScan'!$C$3:$C$302,"Beta-globin (IC)"),"")</f>
        <v>37</v>
      </c>
      <c r="I77" s="19" t="str">
        <f aca="false">IF(L77="Tidak","Invalid",IF(AND(ISNUMBER(D77),D77&lt;'Baca Dulu'!$B$13),"Positif","Negatif"))</f>
        <v>Invalid</v>
      </c>
      <c r="J77" s="19" t="str">
        <f aca="false">IF(L77="Tidak","Invalid",IF(AND(ISNUMBER(E77),E77&lt;'Baca Dulu'!$B$13),"Positif","Negatif"))</f>
        <v>Invalid</v>
      </c>
      <c r="K77" s="19" t="str">
        <f aca="false">IF(L77="Tidak","Invalid",IF(OR(AND(ISNUMBER(F77),F77&lt;'Baca Dulu'!$B$13),AND(ISNUMBER(G77),G77&lt;'Baca Dulu'!$B$13)),"Positif","Negatif"))</f>
        <v>Invalid</v>
      </c>
      <c r="L77" s="19" t="str">
        <f aca="false">IF(AND(ISNUMBER(H77),H77&lt;='Baca Dulu'!$B$14),"Ya","Tidak")</f>
        <v>Tidak</v>
      </c>
      <c r="M77" s="19" t="str">
        <f aca="false">IF(L77="Tidak","Invalid",IF(OR(I77="Positif",J77="Positif"),"Positif 16/18",IF(K77="Positif","Positif lain","Negatif")))</f>
        <v>Invalid</v>
      </c>
      <c r="N77" s="24" t="str">
        <f aca="false">IF(AND(L77="Ya",COUNT(D77:G77)&gt;0),MIN(D77:G77)-H77,"")</f>
        <v/>
      </c>
      <c r="O77" s="25" t="n">
        <f aca="false">INDEX('3 Mock CerviScan'!$H$3:$H$302,MATCH(B77,'3 Mock CerviScan'!$B$3:$B$302,0))</f>
        <v>46313</v>
      </c>
      <c r="P77" s="19" t="s">
        <v>770</v>
      </c>
    </row>
    <row r="78" customFormat="false" ht="15" hidden="false" customHeight="true" outlineLevel="0" collapsed="false">
      <c r="A78" s="26" t="s">
        <v>769</v>
      </c>
      <c r="B78" s="19" t="s">
        <v>494</v>
      </c>
      <c r="C78" s="19" t="str">
        <f aca="false">INDEX('3 Mock CerviScan'!$F$3:$F$302,MATCH(B78,'3 Mock CerviScan'!$B$3:$B$302,0))</f>
        <v>P-0076</v>
      </c>
      <c r="D78" s="19" t="str">
        <f aca="false">IFERROR(AVERAGEIFS('3 Mock CerviScan'!$E$3:$E$302,'3 Mock CerviScan'!$B$3:$B$302,$B78,'3 Mock CerviScan'!$C$3:$C$302,"HPV16"),"")</f>
        <v/>
      </c>
      <c r="E78" s="19" t="str">
        <f aca="false">IFERROR(AVERAGEIFS('3 Mock CerviScan'!$E$3:$E$302,'3 Mock CerviScan'!$B$3:$B$302,$B78,'3 Mock CerviScan'!$C$3:$C$302,"HPV18"),"")</f>
        <v/>
      </c>
      <c r="F78" s="19" t="n">
        <f aca="false">IFERROR(AVERAGEIFS('3 Mock CerviScan'!$E$3:$E$302,'3 Mock CerviScan'!$B$3:$B$302,$B78,'3 Mock CerviScan'!$C$3:$C$302,"HPV52"),"")</f>
        <v>31.3</v>
      </c>
      <c r="G78" s="19" t="str">
        <f aca="false">IFERROR(AVERAGEIFS('3 Mock CerviScan'!$E$3:$E$302,'3 Mock CerviScan'!$B$3:$B$302,$B78,'3 Mock CerviScan'!$C$3:$C$302,"HR lain (11 tipe)"),"")</f>
        <v/>
      </c>
      <c r="H78" s="19" t="n">
        <f aca="false">IFERROR(AVERAGEIFS('3 Mock CerviScan'!$E$3:$E$302,'3 Mock CerviScan'!$B$3:$B$302,$B78,'3 Mock CerviScan'!$C$3:$C$302,"Beta-globin (IC)"),"")</f>
        <v>23</v>
      </c>
      <c r="I78" s="19" t="str">
        <f aca="false">IF(L78="Tidak","Invalid",IF(AND(ISNUMBER(D78),D78&lt;'Baca Dulu'!$B$13),"Positif","Negatif"))</f>
        <v>Negatif</v>
      </c>
      <c r="J78" s="19" t="str">
        <f aca="false">IF(L78="Tidak","Invalid",IF(AND(ISNUMBER(E78),E78&lt;'Baca Dulu'!$B$13),"Positif","Negatif"))</f>
        <v>Negatif</v>
      </c>
      <c r="K78" s="19" t="str">
        <f aca="false">IF(L78="Tidak","Invalid",IF(OR(AND(ISNUMBER(F78),F78&lt;'Baca Dulu'!$B$13),AND(ISNUMBER(G78),G78&lt;'Baca Dulu'!$B$13)),"Positif","Negatif"))</f>
        <v>Positif</v>
      </c>
      <c r="L78" s="19" t="str">
        <f aca="false">IF(AND(ISNUMBER(H78),H78&lt;='Baca Dulu'!$B$14),"Ya","Tidak")</f>
        <v>Ya</v>
      </c>
      <c r="M78" s="19" t="str">
        <f aca="false">IF(L78="Tidak","Invalid",IF(OR(I78="Positif",J78="Positif"),"Positif 16/18",IF(K78="Positif","Positif lain","Negatif")))</f>
        <v>Positif lain</v>
      </c>
      <c r="N78" s="24" t="n">
        <f aca="false">IF(AND(L78="Ya",COUNT(D78:G78)&gt;0),MIN(D78:G78)-H78,"")</f>
        <v>8.3</v>
      </c>
      <c r="O78" s="25" t="n">
        <f aca="false">INDEX('3 Mock CerviScan'!$H$3:$H$302,MATCH(B78,'3 Mock CerviScan'!$B$3:$B$302,0))</f>
        <v>46308</v>
      </c>
      <c r="P78" s="19" t="s">
        <v>770</v>
      </c>
    </row>
    <row r="79" customFormat="false" ht="15" hidden="false" customHeight="true" outlineLevel="0" collapsed="false">
      <c r="A79" s="26" t="s">
        <v>769</v>
      </c>
      <c r="B79" s="19" t="s">
        <v>497</v>
      </c>
      <c r="C79" s="19" t="str">
        <f aca="false">INDEX('3 Mock CerviScan'!$F$3:$F$302,MATCH(B79,'3 Mock CerviScan'!$B$3:$B$302,0))</f>
        <v>P-0077</v>
      </c>
      <c r="D79" s="19" t="str">
        <f aca="false">IFERROR(AVERAGEIFS('3 Mock CerviScan'!$E$3:$E$302,'3 Mock CerviScan'!$B$3:$B$302,$B79,'3 Mock CerviScan'!$C$3:$C$302,"HPV16"),"")</f>
        <v/>
      </c>
      <c r="E79" s="19" t="str">
        <f aca="false">IFERROR(AVERAGEIFS('3 Mock CerviScan'!$E$3:$E$302,'3 Mock CerviScan'!$B$3:$B$302,$B79,'3 Mock CerviScan'!$C$3:$C$302,"HPV18"),"")</f>
        <v/>
      </c>
      <c r="F79" s="19" t="str">
        <f aca="false">IFERROR(AVERAGEIFS('3 Mock CerviScan'!$E$3:$E$302,'3 Mock CerviScan'!$B$3:$B$302,$B79,'3 Mock CerviScan'!$C$3:$C$302,"HPV52"),"")</f>
        <v/>
      </c>
      <c r="G79" s="19" t="str">
        <f aca="false">IFERROR(AVERAGEIFS('3 Mock CerviScan'!$E$3:$E$302,'3 Mock CerviScan'!$B$3:$B$302,$B79,'3 Mock CerviScan'!$C$3:$C$302,"HR lain (11 tipe)"),"")</f>
        <v/>
      </c>
      <c r="H79" s="19" t="n">
        <f aca="false">IFERROR(AVERAGEIFS('3 Mock CerviScan'!$E$3:$E$302,'3 Mock CerviScan'!$B$3:$B$302,$B79,'3 Mock CerviScan'!$C$3:$C$302,"Beta-globin (IC)"),"")</f>
        <v>30.2</v>
      </c>
      <c r="I79" s="19" t="str">
        <f aca="false">IF(L79="Tidak","Invalid",IF(AND(ISNUMBER(D79),D79&lt;'Baca Dulu'!$B$13),"Positif","Negatif"))</f>
        <v>Negatif</v>
      </c>
      <c r="J79" s="19" t="str">
        <f aca="false">IF(L79="Tidak","Invalid",IF(AND(ISNUMBER(E79),E79&lt;'Baca Dulu'!$B$13),"Positif","Negatif"))</f>
        <v>Negatif</v>
      </c>
      <c r="K79" s="19" t="str">
        <f aca="false">IF(L79="Tidak","Invalid",IF(OR(AND(ISNUMBER(F79),F79&lt;'Baca Dulu'!$B$13),AND(ISNUMBER(G79),G79&lt;'Baca Dulu'!$B$13)),"Positif","Negatif"))</f>
        <v>Negatif</v>
      </c>
      <c r="L79" s="19" t="str">
        <f aca="false">IF(AND(ISNUMBER(H79),H79&lt;='Baca Dulu'!$B$14),"Ya","Tidak")</f>
        <v>Ya</v>
      </c>
      <c r="M79" s="19" t="str">
        <f aca="false">IF(L79="Tidak","Invalid",IF(OR(I79="Positif",J79="Positif"),"Positif 16/18",IF(K79="Positif","Positif lain","Negatif")))</f>
        <v>Negatif</v>
      </c>
      <c r="N79" s="24" t="str">
        <f aca="false">IF(AND(L79="Ya",COUNT(D79:G79)&gt;0),MIN(D79:G79)-H79,"")</f>
        <v/>
      </c>
      <c r="O79" s="25" t="n">
        <f aca="false">INDEX('3 Mock CerviScan'!$H$3:$H$302,MATCH(B79,'3 Mock CerviScan'!$B$3:$B$302,0))</f>
        <v>46305</v>
      </c>
      <c r="P79" s="19" t="s">
        <v>770</v>
      </c>
    </row>
    <row r="80" customFormat="false" ht="15" hidden="false" customHeight="true" outlineLevel="0" collapsed="false">
      <c r="A80" s="26" t="s">
        <v>769</v>
      </c>
      <c r="B80" s="19" t="s">
        <v>500</v>
      </c>
      <c r="C80" s="19" t="str">
        <f aca="false">INDEX('3 Mock CerviScan'!$F$3:$F$302,MATCH(B80,'3 Mock CerviScan'!$B$3:$B$302,0))</f>
        <v>P-0078</v>
      </c>
      <c r="D80" s="19" t="str">
        <f aca="false">IFERROR(AVERAGEIFS('3 Mock CerviScan'!$E$3:$E$302,'3 Mock CerviScan'!$B$3:$B$302,$B80,'3 Mock CerviScan'!$C$3:$C$302,"HPV16"),"")</f>
        <v/>
      </c>
      <c r="E80" s="19" t="str">
        <f aca="false">IFERROR(AVERAGEIFS('3 Mock CerviScan'!$E$3:$E$302,'3 Mock CerviScan'!$B$3:$B$302,$B80,'3 Mock CerviScan'!$C$3:$C$302,"HPV18"),"")</f>
        <v/>
      </c>
      <c r="F80" s="19" t="str">
        <f aca="false">IFERROR(AVERAGEIFS('3 Mock CerviScan'!$E$3:$E$302,'3 Mock CerviScan'!$B$3:$B$302,$B80,'3 Mock CerviScan'!$C$3:$C$302,"HPV52"),"")</f>
        <v/>
      </c>
      <c r="G80" s="19" t="str">
        <f aca="false">IFERROR(AVERAGEIFS('3 Mock CerviScan'!$E$3:$E$302,'3 Mock CerviScan'!$B$3:$B$302,$B80,'3 Mock CerviScan'!$C$3:$C$302,"HR lain (11 tipe)"),"")</f>
        <v/>
      </c>
      <c r="H80" s="19" t="n">
        <f aca="false">IFERROR(AVERAGEIFS('3 Mock CerviScan'!$E$3:$E$302,'3 Mock CerviScan'!$B$3:$B$302,$B80,'3 Mock CerviScan'!$C$3:$C$302,"Beta-globin (IC)"),"")</f>
        <v>24.9</v>
      </c>
      <c r="I80" s="19" t="str">
        <f aca="false">IF(L80="Tidak","Invalid",IF(AND(ISNUMBER(D80),D80&lt;'Baca Dulu'!$B$13),"Positif","Negatif"))</f>
        <v>Negatif</v>
      </c>
      <c r="J80" s="19" t="str">
        <f aca="false">IF(L80="Tidak","Invalid",IF(AND(ISNUMBER(E80),E80&lt;'Baca Dulu'!$B$13),"Positif","Negatif"))</f>
        <v>Negatif</v>
      </c>
      <c r="K80" s="19" t="str">
        <f aca="false">IF(L80="Tidak","Invalid",IF(OR(AND(ISNUMBER(F80),F80&lt;'Baca Dulu'!$B$13),AND(ISNUMBER(G80),G80&lt;'Baca Dulu'!$B$13)),"Positif","Negatif"))</f>
        <v>Negatif</v>
      </c>
      <c r="L80" s="19" t="str">
        <f aca="false">IF(AND(ISNUMBER(H80),H80&lt;='Baca Dulu'!$B$14),"Ya","Tidak")</f>
        <v>Ya</v>
      </c>
      <c r="M80" s="19" t="str">
        <f aca="false">IF(L80="Tidak","Invalid",IF(OR(I80="Positif",J80="Positif"),"Positif 16/18",IF(K80="Positif","Positif lain","Negatif")))</f>
        <v>Negatif</v>
      </c>
      <c r="N80" s="24" t="str">
        <f aca="false">IF(AND(L80="Ya",COUNT(D80:G80)&gt;0),MIN(D80:G80)-H80,"")</f>
        <v/>
      </c>
      <c r="O80" s="25" t="n">
        <f aca="false">INDEX('3 Mock CerviScan'!$H$3:$H$302,MATCH(B80,'3 Mock CerviScan'!$B$3:$B$302,0))</f>
        <v>46311</v>
      </c>
      <c r="P80" s="19" t="s">
        <v>770</v>
      </c>
    </row>
    <row r="81" customFormat="false" ht="15" hidden="false" customHeight="true" outlineLevel="0" collapsed="false">
      <c r="A81" s="26" t="s">
        <v>769</v>
      </c>
      <c r="B81" s="19" t="s">
        <v>503</v>
      </c>
      <c r="C81" s="19" t="str">
        <f aca="false">INDEX('3 Mock CerviScan'!$F$3:$F$302,MATCH(B81,'3 Mock CerviScan'!$B$3:$B$302,0))</f>
        <v>P-0079</v>
      </c>
      <c r="D81" s="19" t="str">
        <f aca="false">IFERROR(AVERAGEIFS('3 Mock CerviScan'!$E$3:$E$302,'3 Mock CerviScan'!$B$3:$B$302,$B81,'3 Mock CerviScan'!$C$3:$C$302,"HPV16"),"")</f>
        <v/>
      </c>
      <c r="E81" s="19" t="str">
        <f aca="false">IFERROR(AVERAGEIFS('3 Mock CerviScan'!$E$3:$E$302,'3 Mock CerviScan'!$B$3:$B$302,$B81,'3 Mock CerviScan'!$C$3:$C$302,"HPV18"),"")</f>
        <v/>
      </c>
      <c r="F81" s="19" t="str">
        <f aca="false">IFERROR(AVERAGEIFS('3 Mock CerviScan'!$E$3:$E$302,'3 Mock CerviScan'!$B$3:$B$302,$B81,'3 Mock CerviScan'!$C$3:$C$302,"HPV52"),"")</f>
        <v/>
      </c>
      <c r="G81" s="19" t="n">
        <f aca="false">IFERROR(AVERAGEIFS('3 Mock CerviScan'!$E$3:$E$302,'3 Mock CerviScan'!$B$3:$B$302,$B81,'3 Mock CerviScan'!$C$3:$C$302,"HR lain (11 tipe)"),"")</f>
        <v>23.1</v>
      </c>
      <c r="H81" s="19" t="n">
        <f aca="false">IFERROR(AVERAGEIFS('3 Mock CerviScan'!$E$3:$E$302,'3 Mock CerviScan'!$B$3:$B$302,$B81,'3 Mock CerviScan'!$C$3:$C$302,"Beta-globin (IC)"),"")</f>
        <v>25.4</v>
      </c>
      <c r="I81" s="19" t="str">
        <f aca="false">IF(L81="Tidak","Invalid",IF(AND(ISNUMBER(D81),D81&lt;'Baca Dulu'!$B$13),"Positif","Negatif"))</f>
        <v>Negatif</v>
      </c>
      <c r="J81" s="19" t="str">
        <f aca="false">IF(L81="Tidak","Invalid",IF(AND(ISNUMBER(E81),E81&lt;'Baca Dulu'!$B$13),"Positif","Negatif"))</f>
        <v>Negatif</v>
      </c>
      <c r="K81" s="19" t="str">
        <f aca="false">IF(L81="Tidak","Invalid",IF(OR(AND(ISNUMBER(F81),F81&lt;'Baca Dulu'!$B$13),AND(ISNUMBER(G81),G81&lt;'Baca Dulu'!$B$13)),"Positif","Negatif"))</f>
        <v>Positif</v>
      </c>
      <c r="L81" s="19" t="str">
        <f aca="false">IF(AND(ISNUMBER(H81),H81&lt;='Baca Dulu'!$B$14),"Ya","Tidak")</f>
        <v>Ya</v>
      </c>
      <c r="M81" s="19" t="str">
        <f aca="false">IF(L81="Tidak","Invalid",IF(OR(I81="Positif",J81="Positif"),"Positif 16/18",IF(K81="Positif","Positif lain","Negatif")))</f>
        <v>Positif lain</v>
      </c>
      <c r="N81" s="24" t="n">
        <f aca="false">IF(AND(L81="Ya",COUNT(D81:G81)&gt;0),MIN(D81:G81)-H81,"")</f>
        <v>-2.3</v>
      </c>
      <c r="O81" s="25" t="n">
        <f aca="false">INDEX('3 Mock CerviScan'!$H$3:$H$302,MATCH(B81,'3 Mock CerviScan'!$B$3:$B$302,0))</f>
        <v>46309</v>
      </c>
      <c r="P81" s="19" t="s">
        <v>770</v>
      </c>
    </row>
    <row r="82" customFormat="false" ht="15" hidden="false" customHeight="true" outlineLevel="0" collapsed="false">
      <c r="A82" s="26" t="s">
        <v>769</v>
      </c>
      <c r="B82" s="19" t="s">
        <v>506</v>
      </c>
      <c r="C82" s="19" t="str">
        <f aca="false">INDEX('3 Mock CerviScan'!$F$3:$F$302,MATCH(B82,'3 Mock CerviScan'!$B$3:$B$302,0))</f>
        <v>P-0080</v>
      </c>
      <c r="D82" s="19" t="str">
        <f aca="false">IFERROR(AVERAGEIFS('3 Mock CerviScan'!$E$3:$E$302,'3 Mock CerviScan'!$B$3:$B$302,$B82,'3 Mock CerviScan'!$C$3:$C$302,"HPV16"),"")</f>
        <v/>
      </c>
      <c r="E82" s="19" t="str">
        <f aca="false">IFERROR(AVERAGEIFS('3 Mock CerviScan'!$E$3:$E$302,'3 Mock CerviScan'!$B$3:$B$302,$B82,'3 Mock CerviScan'!$C$3:$C$302,"HPV18"),"")</f>
        <v/>
      </c>
      <c r="F82" s="19" t="str">
        <f aca="false">IFERROR(AVERAGEIFS('3 Mock CerviScan'!$E$3:$E$302,'3 Mock CerviScan'!$B$3:$B$302,$B82,'3 Mock CerviScan'!$C$3:$C$302,"HPV52"),"")</f>
        <v/>
      </c>
      <c r="G82" s="19" t="str">
        <f aca="false">IFERROR(AVERAGEIFS('3 Mock CerviScan'!$E$3:$E$302,'3 Mock CerviScan'!$B$3:$B$302,$B82,'3 Mock CerviScan'!$C$3:$C$302,"HR lain (11 tipe)"),"")</f>
        <v/>
      </c>
      <c r="H82" s="19" t="n">
        <f aca="false">IFERROR(AVERAGEIFS('3 Mock CerviScan'!$E$3:$E$302,'3 Mock CerviScan'!$B$3:$B$302,$B82,'3 Mock CerviScan'!$C$3:$C$302,"Beta-globin (IC)"),"")</f>
        <v>22.1</v>
      </c>
      <c r="I82" s="19" t="str">
        <f aca="false">IF(L82="Tidak","Invalid",IF(AND(ISNUMBER(D82),D82&lt;'Baca Dulu'!$B$13),"Positif","Negatif"))</f>
        <v>Negatif</v>
      </c>
      <c r="J82" s="19" t="str">
        <f aca="false">IF(L82="Tidak","Invalid",IF(AND(ISNUMBER(E82),E82&lt;'Baca Dulu'!$B$13),"Positif","Negatif"))</f>
        <v>Negatif</v>
      </c>
      <c r="K82" s="19" t="str">
        <f aca="false">IF(L82="Tidak","Invalid",IF(OR(AND(ISNUMBER(F82),F82&lt;'Baca Dulu'!$B$13),AND(ISNUMBER(G82),G82&lt;'Baca Dulu'!$B$13)),"Positif","Negatif"))</f>
        <v>Negatif</v>
      </c>
      <c r="L82" s="19" t="str">
        <f aca="false">IF(AND(ISNUMBER(H82),H82&lt;='Baca Dulu'!$B$14),"Ya","Tidak")</f>
        <v>Ya</v>
      </c>
      <c r="M82" s="19" t="str">
        <f aca="false">IF(L82="Tidak","Invalid",IF(OR(I82="Positif",J82="Positif"),"Positif 16/18",IF(K82="Positif","Positif lain","Negatif")))</f>
        <v>Negatif</v>
      </c>
      <c r="N82" s="24" t="str">
        <f aca="false">IF(AND(L82="Ya",COUNT(D82:G82)&gt;0),MIN(D82:G82)-H82,"")</f>
        <v/>
      </c>
      <c r="O82" s="25" t="n">
        <f aca="false">INDEX('3 Mock CerviScan'!$H$3:$H$302,MATCH(B82,'3 Mock CerviScan'!$B$3:$B$302,0))</f>
        <v>46308</v>
      </c>
      <c r="P82" s="19" t="s">
        <v>770</v>
      </c>
    </row>
    <row r="83" customFormat="false" ht="15" hidden="false" customHeight="true" outlineLevel="0" collapsed="false">
      <c r="A83" s="26" t="s">
        <v>769</v>
      </c>
      <c r="B83" s="19" t="s">
        <v>509</v>
      </c>
      <c r="C83" s="19" t="str">
        <f aca="false">INDEX('3 Mock CerviScan'!$F$3:$F$302,MATCH(B83,'3 Mock CerviScan'!$B$3:$B$302,0))</f>
        <v>P-0081</v>
      </c>
      <c r="D83" s="19" t="n">
        <f aca="false">IFERROR(AVERAGEIFS('3 Mock CerviScan'!$E$3:$E$302,'3 Mock CerviScan'!$B$3:$B$302,$B83,'3 Mock CerviScan'!$C$3:$C$302,"HPV16"),"")</f>
        <v>22.3</v>
      </c>
      <c r="E83" s="19" t="str">
        <f aca="false">IFERROR(AVERAGEIFS('3 Mock CerviScan'!$E$3:$E$302,'3 Mock CerviScan'!$B$3:$B$302,$B83,'3 Mock CerviScan'!$C$3:$C$302,"HPV18"),"")</f>
        <v/>
      </c>
      <c r="F83" s="19" t="str">
        <f aca="false">IFERROR(AVERAGEIFS('3 Mock CerviScan'!$E$3:$E$302,'3 Mock CerviScan'!$B$3:$B$302,$B83,'3 Mock CerviScan'!$C$3:$C$302,"HPV52"),"")</f>
        <v/>
      </c>
      <c r="G83" s="19" t="str">
        <f aca="false">IFERROR(AVERAGEIFS('3 Mock CerviScan'!$E$3:$E$302,'3 Mock CerviScan'!$B$3:$B$302,$B83,'3 Mock CerviScan'!$C$3:$C$302,"HR lain (11 tipe)"),"")</f>
        <v/>
      </c>
      <c r="H83" s="19" t="n">
        <f aca="false">IFERROR(AVERAGEIFS('3 Mock CerviScan'!$E$3:$E$302,'3 Mock CerviScan'!$B$3:$B$302,$B83,'3 Mock CerviScan'!$C$3:$C$302,"Beta-globin (IC)"),"")</f>
        <v>28.9</v>
      </c>
      <c r="I83" s="19" t="str">
        <f aca="false">IF(L83="Tidak","Invalid",IF(AND(ISNUMBER(D83),D83&lt;'Baca Dulu'!$B$13),"Positif","Negatif"))</f>
        <v>Positif</v>
      </c>
      <c r="J83" s="19" t="str">
        <f aca="false">IF(L83="Tidak","Invalid",IF(AND(ISNUMBER(E83),E83&lt;'Baca Dulu'!$B$13),"Positif","Negatif"))</f>
        <v>Negatif</v>
      </c>
      <c r="K83" s="19" t="str">
        <f aca="false">IF(L83="Tidak","Invalid",IF(OR(AND(ISNUMBER(F83),F83&lt;'Baca Dulu'!$B$13),AND(ISNUMBER(G83),G83&lt;'Baca Dulu'!$B$13)),"Positif","Negatif"))</f>
        <v>Negatif</v>
      </c>
      <c r="L83" s="19" t="str">
        <f aca="false">IF(AND(ISNUMBER(H83),H83&lt;='Baca Dulu'!$B$14),"Ya","Tidak")</f>
        <v>Ya</v>
      </c>
      <c r="M83" s="19" t="str">
        <f aca="false">IF(L83="Tidak","Invalid",IF(OR(I83="Positif",J83="Positif"),"Positif 16/18",IF(K83="Positif","Positif lain","Negatif")))</f>
        <v>Positif 16/18</v>
      </c>
      <c r="N83" s="24" t="n">
        <f aca="false">IF(AND(L83="Ya",COUNT(D83:G83)&gt;0),MIN(D83:G83)-H83,"")</f>
        <v>-6.6</v>
      </c>
      <c r="O83" s="25" t="n">
        <f aca="false">INDEX('3 Mock CerviScan'!$H$3:$H$302,MATCH(B83,'3 Mock CerviScan'!$B$3:$B$302,0))</f>
        <v>46309</v>
      </c>
      <c r="P83" s="19" t="s">
        <v>770</v>
      </c>
    </row>
    <row r="84" customFormat="false" ht="15" hidden="false" customHeight="true" outlineLevel="0" collapsed="false">
      <c r="A84" s="26" t="s">
        <v>769</v>
      </c>
      <c r="B84" s="19" t="s">
        <v>512</v>
      </c>
      <c r="C84" s="19" t="str">
        <f aca="false">INDEX('3 Mock CerviScan'!$F$3:$F$302,MATCH(B84,'3 Mock CerviScan'!$B$3:$B$302,0))</f>
        <v>P-0082</v>
      </c>
      <c r="D84" s="19" t="str">
        <f aca="false">IFERROR(AVERAGEIFS('3 Mock CerviScan'!$E$3:$E$302,'3 Mock CerviScan'!$B$3:$B$302,$B84,'3 Mock CerviScan'!$C$3:$C$302,"HPV16"),"")</f>
        <v/>
      </c>
      <c r="E84" s="19" t="str">
        <f aca="false">IFERROR(AVERAGEIFS('3 Mock CerviScan'!$E$3:$E$302,'3 Mock CerviScan'!$B$3:$B$302,$B84,'3 Mock CerviScan'!$C$3:$C$302,"HPV18"),"")</f>
        <v/>
      </c>
      <c r="F84" s="19" t="n">
        <f aca="false">IFERROR(AVERAGEIFS('3 Mock CerviScan'!$E$3:$E$302,'3 Mock CerviScan'!$B$3:$B$302,$B84,'3 Mock CerviScan'!$C$3:$C$302,"HPV52"),"")</f>
        <v>29.4</v>
      </c>
      <c r="G84" s="19" t="str">
        <f aca="false">IFERROR(AVERAGEIFS('3 Mock CerviScan'!$E$3:$E$302,'3 Mock CerviScan'!$B$3:$B$302,$B84,'3 Mock CerviScan'!$C$3:$C$302,"HR lain (11 tipe)"),"")</f>
        <v/>
      </c>
      <c r="H84" s="19" t="n">
        <f aca="false">IFERROR(AVERAGEIFS('3 Mock CerviScan'!$E$3:$E$302,'3 Mock CerviScan'!$B$3:$B$302,$B84,'3 Mock CerviScan'!$C$3:$C$302,"Beta-globin (IC)"),"")</f>
        <v>29.3</v>
      </c>
      <c r="I84" s="19" t="str">
        <f aca="false">IF(L84="Tidak","Invalid",IF(AND(ISNUMBER(D84),D84&lt;'Baca Dulu'!$B$13),"Positif","Negatif"))</f>
        <v>Negatif</v>
      </c>
      <c r="J84" s="19" t="str">
        <f aca="false">IF(L84="Tidak","Invalid",IF(AND(ISNUMBER(E84),E84&lt;'Baca Dulu'!$B$13),"Positif","Negatif"))</f>
        <v>Negatif</v>
      </c>
      <c r="K84" s="19" t="str">
        <f aca="false">IF(L84="Tidak","Invalid",IF(OR(AND(ISNUMBER(F84),F84&lt;'Baca Dulu'!$B$13),AND(ISNUMBER(G84),G84&lt;'Baca Dulu'!$B$13)),"Positif","Negatif"))</f>
        <v>Positif</v>
      </c>
      <c r="L84" s="19" t="str">
        <f aca="false">IF(AND(ISNUMBER(H84),H84&lt;='Baca Dulu'!$B$14),"Ya","Tidak")</f>
        <v>Ya</v>
      </c>
      <c r="M84" s="19" t="str">
        <f aca="false">IF(L84="Tidak","Invalid",IF(OR(I84="Positif",J84="Positif"),"Positif 16/18",IF(K84="Positif","Positif lain","Negatif")))</f>
        <v>Positif lain</v>
      </c>
      <c r="N84" s="24" t="n">
        <f aca="false">IF(AND(L84="Ya",COUNT(D84:G84)&gt;0),MIN(D84:G84)-H84,"")</f>
        <v>0.0999999999999979</v>
      </c>
      <c r="O84" s="25" t="n">
        <f aca="false">INDEX('3 Mock CerviScan'!$H$3:$H$302,MATCH(B84,'3 Mock CerviScan'!$B$3:$B$302,0))</f>
        <v>46309</v>
      </c>
      <c r="P84" s="19" t="s">
        <v>770</v>
      </c>
    </row>
    <row r="85" customFormat="false" ht="15" hidden="false" customHeight="true" outlineLevel="0" collapsed="false">
      <c r="A85" s="26" t="s">
        <v>769</v>
      </c>
      <c r="B85" s="19" t="s">
        <v>515</v>
      </c>
      <c r="C85" s="19" t="str">
        <f aca="false">INDEX('3 Mock CerviScan'!$F$3:$F$302,MATCH(B85,'3 Mock CerviScan'!$B$3:$B$302,0))</f>
        <v>P-0083</v>
      </c>
      <c r="D85" s="19" t="str">
        <f aca="false">IFERROR(AVERAGEIFS('3 Mock CerviScan'!$E$3:$E$302,'3 Mock CerviScan'!$B$3:$B$302,$B85,'3 Mock CerviScan'!$C$3:$C$302,"HPV16"),"")</f>
        <v/>
      </c>
      <c r="E85" s="19" t="str">
        <f aca="false">IFERROR(AVERAGEIFS('3 Mock CerviScan'!$E$3:$E$302,'3 Mock CerviScan'!$B$3:$B$302,$B85,'3 Mock CerviScan'!$C$3:$C$302,"HPV18"),"")</f>
        <v/>
      </c>
      <c r="F85" s="19" t="str">
        <f aca="false">IFERROR(AVERAGEIFS('3 Mock CerviScan'!$E$3:$E$302,'3 Mock CerviScan'!$B$3:$B$302,$B85,'3 Mock CerviScan'!$C$3:$C$302,"HPV52"),"")</f>
        <v/>
      </c>
      <c r="G85" s="19" t="str">
        <f aca="false">IFERROR(AVERAGEIFS('3 Mock CerviScan'!$E$3:$E$302,'3 Mock CerviScan'!$B$3:$B$302,$B85,'3 Mock CerviScan'!$C$3:$C$302,"HR lain (11 tipe)"),"")</f>
        <v/>
      </c>
      <c r="H85" s="19" t="n">
        <f aca="false">IFERROR(AVERAGEIFS('3 Mock CerviScan'!$E$3:$E$302,'3 Mock CerviScan'!$B$3:$B$302,$B85,'3 Mock CerviScan'!$C$3:$C$302,"Beta-globin (IC)"),"")</f>
        <v>22.1</v>
      </c>
      <c r="I85" s="19" t="str">
        <f aca="false">IF(L85="Tidak","Invalid",IF(AND(ISNUMBER(D85),D85&lt;'Baca Dulu'!$B$13),"Positif","Negatif"))</f>
        <v>Negatif</v>
      </c>
      <c r="J85" s="19" t="str">
        <f aca="false">IF(L85="Tidak","Invalid",IF(AND(ISNUMBER(E85),E85&lt;'Baca Dulu'!$B$13),"Positif","Negatif"))</f>
        <v>Negatif</v>
      </c>
      <c r="K85" s="19" t="str">
        <f aca="false">IF(L85="Tidak","Invalid",IF(OR(AND(ISNUMBER(F85),F85&lt;'Baca Dulu'!$B$13),AND(ISNUMBER(G85),G85&lt;'Baca Dulu'!$B$13)),"Positif","Negatif"))</f>
        <v>Negatif</v>
      </c>
      <c r="L85" s="19" t="str">
        <f aca="false">IF(AND(ISNUMBER(H85),H85&lt;='Baca Dulu'!$B$14),"Ya","Tidak")</f>
        <v>Ya</v>
      </c>
      <c r="M85" s="19" t="str">
        <f aca="false">IF(L85="Tidak","Invalid",IF(OR(I85="Positif",J85="Positif"),"Positif 16/18",IF(K85="Positif","Positif lain","Negatif")))</f>
        <v>Negatif</v>
      </c>
      <c r="N85" s="24" t="str">
        <f aca="false">IF(AND(L85="Ya",COUNT(D85:G85)&gt;0),MIN(D85:G85)-H85,"")</f>
        <v/>
      </c>
      <c r="O85" s="25" t="n">
        <f aca="false">INDEX('3 Mock CerviScan'!$H$3:$H$302,MATCH(B85,'3 Mock CerviScan'!$B$3:$B$302,0))</f>
        <v>46313</v>
      </c>
      <c r="P85" s="19" t="s">
        <v>770</v>
      </c>
    </row>
    <row r="86" customFormat="false" ht="15" hidden="false" customHeight="true" outlineLevel="0" collapsed="false">
      <c r="A86" s="26" t="s">
        <v>769</v>
      </c>
      <c r="B86" s="19" t="s">
        <v>518</v>
      </c>
      <c r="C86" s="19" t="str">
        <f aca="false">INDEX('3 Mock CerviScan'!$F$3:$F$302,MATCH(B86,'3 Mock CerviScan'!$B$3:$B$302,0))</f>
        <v>P-0084</v>
      </c>
      <c r="D86" s="19" t="str">
        <f aca="false">IFERROR(AVERAGEIFS('3 Mock CerviScan'!$E$3:$E$302,'3 Mock CerviScan'!$B$3:$B$302,$B86,'3 Mock CerviScan'!$C$3:$C$302,"HPV16"),"")</f>
        <v/>
      </c>
      <c r="E86" s="19" t="str">
        <f aca="false">IFERROR(AVERAGEIFS('3 Mock CerviScan'!$E$3:$E$302,'3 Mock CerviScan'!$B$3:$B$302,$B86,'3 Mock CerviScan'!$C$3:$C$302,"HPV18"),"")</f>
        <v/>
      </c>
      <c r="F86" s="19" t="n">
        <f aca="false">IFERROR(AVERAGEIFS('3 Mock CerviScan'!$E$3:$E$302,'3 Mock CerviScan'!$B$3:$B$302,$B86,'3 Mock CerviScan'!$C$3:$C$302,"HPV52"),"")</f>
        <v>28.6</v>
      </c>
      <c r="G86" s="19" t="str">
        <f aca="false">IFERROR(AVERAGEIFS('3 Mock CerviScan'!$E$3:$E$302,'3 Mock CerviScan'!$B$3:$B$302,$B86,'3 Mock CerviScan'!$C$3:$C$302,"HR lain (11 tipe)"),"")</f>
        <v/>
      </c>
      <c r="H86" s="19" t="n">
        <f aca="false">IFERROR(AVERAGEIFS('3 Mock CerviScan'!$E$3:$E$302,'3 Mock CerviScan'!$B$3:$B$302,$B86,'3 Mock CerviScan'!$C$3:$C$302,"Beta-globin (IC)"),"")</f>
        <v>23</v>
      </c>
      <c r="I86" s="19" t="str">
        <f aca="false">IF(L86="Tidak","Invalid",IF(AND(ISNUMBER(D86),D86&lt;'Baca Dulu'!$B$13),"Positif","Negatif"))</f>
        <v>Negatif</v>
      </c>
      <c r="J86" s="19" t="str">
        <f aca="false">IF(L86="Tidak","Invalid",IF(AND(ISNUMBER(E86),E86&lt;'Baca Dulu'!$B$13),"Positif","Negatif"))</f>
        <v>Negatif</v>
      </c>
      <c r="K86" s="19" t="str">
        <f aca="false">IF(L86="Tidak","Invalid",IF(OR(AND(ISNUMBER(F86),F86&lt;'Baca Dulu'!$B$13),AND(ISNUMBER(G86),G86&lt;'Baca Dulu'!$B$13)),"Positif","Negatif"))</f>
        <v>Positif</v>
      </c>
      <c r="L86" s="19" t="str">
        <f aca="false">IF(AND(ISNUMBER(H86),H86&lt;='Baca Dulu'!$B$14),"Ya","Tidak")</f>
        <v>Ya</v>
      </c>
      <c r="M86" s="19" t="str">
        <f aca="false">IF(L86="Tidak","Invalid",IF(OR(I86="Positif",J86="Positif"),"Positif 16/18",IF(K86="Positif","Positif lain","Negatif")))</f>
        <v>Positif lain</v>
      </c>
      <c r="N86" s="24" t="n">
        <f aca="false">IF(AND(L86="Ya",COUNT(D86:G86)&gt;0),MIN(D86:G86)-H86,"")</f>
        <v>5.6</v>
      </c>
      <c r="O86" s="25" t="n">
        <f aca="false">INDEX('3 Mock CerviScan'!$H$3:$H$302,MATCH(B86,'3 Mock CerviScan'!$B$3:$B$302,0))</f>
        <v>46306</v>
      </c>
      <c r="P86" s="19" t="s">
        <v>770</v>
      </c>
    </row>
    <row r="87" customFormat="false" ht="15" hidden="false" customHeight="true" outlineLevel="0" collapsed="false">
      <c r="A87" s="26" t="s">
        <v>769</v>
      </c>
      <c r="B87" s="19" t="s">
        <v>521</v>
      </c>
      <c r="C87" s="19" t="str">
        <f aca="false">INDEX('3 Mock CerviScan'!$F$3:$F$302,MATCH(B87,'3 Mock CerviScan'!$B$3:$B$302,0))</f>
        <v>P-0085</v>
      </c>
      <c r="D87" s="19" t="str">
        <f aca="false">IFERROR(AVERAGEIFS('3 Mock CerviScan'!$E$3:$E$302,'3 Mock CerviScan'!$B$3:$B$302,$B87,'3 Mock CerviScan'!$C$3:$C$302,"HPV16"),"")</f>
        <v/>
      </c>
      <c r="E87" s="19" t="str">
        <f aca="false">IFERROR(AVERAGEIFS('3 Mock CerviScan'!$E$3:$E$302,'3 Mock CerviScan'!$B$3:$B$302,$B87,'3 Mock CerviScan'!$C$3:$C$302,"HPV18"),"")</f>
        <v/>
      </c>
      <c r="F87" s="19" t="str">
        <f aca="false">IFERROR(AVERAGEIFS('3 Mock CerviScan'!$E$3:$E$302,'3 Mock CerviScan'!$B$3:$B$302,$B87,'3 Mock CerviScan'!$C$3:$C$302,"HPV52"),"")</f>
        <v/>
      </c>
      <c r="G87" s="19" t="str">
        <f aca="false">IFERROR(AVERAGEIFS('3 Mock CerviScan'!$E$3:$E$302,'3 Mock CerviScan'!$B$3:$B$302,$B87,'3 Mock CerviScan'!$C$3:$C$302,"HR lain (11 tipe)"),"")</f>
        <v/>
      </c>
      <c r="H87" s="19" t="n">
        <f aca="false">IFERROR(AVERAGEIFS('3 Mock CerviScan'!$E$3:$E$302,'3 Mock CerviScan'!$B$3:$B$302,$B87,'3 Mock CerviScan'!$C$3:$C$302,"Beta-globin (IC)"),"")</f>
        <v>25.1</v>
      </c>
      <c r="I87" s="19" t="str">
        <f aca="false">IF(L87="Tidak","Invalid",IF(AND(ISNUMBER(D87),D87&lt;'Baca Dulu'!$B$13),"Positif","Negatif"))</f>
        <v>Negatif</v>
      </c>
      <c r="J87" s="19" t="str">
        <f aca="false">IF(L87="Tidak","Invalid",IF(AND(ISNUMBER(E87),E87&lt;'Baca Dulu'!$B$13),"Positif","Negatif"))</f>
        <v>Negatif</v>
      </c>
      <c r="K87" s="19" t="str">
        <f aca="false">IF(L87="Tidak","Invalid",IF(OR(AND(ISNUMBER(F87),F87&lt;'Baca Dulu'!$B$13),AND(ISNUMBER(G87),G87&lt;'Baca Dulu'!$B$13)),"Positif","Negatif"))</f>
        <v>Negatif</v>
      </c>
      <c r="L87" s="19" t="str">
        <f aca="false">IF(AND(ISNUMBER(H87),H87&lt;='Baca Dulu'!$B$14),"Ya","Tidak")</f>
        <v>Ya</v>
      </c>
      <c r="M87" s="19" t="str">
        <f aca="false">IF(L87="Tidak","Invalid",IF(OR(I87="Positif",J87="Positif"),"Positif 16/18",IF(K87="Positif","Positif lain","Negatif")))</f>
        <v>Negatif</v>
      </c>
      <c r="N87" s="24" t="str">
        <f aca="false">IF(AND(L87="Ya",COUNT(D87:G87)&gt;0),MIN(D87:G87)-H87,"")</f>
        <v/>
      </c>
      <c r="O87" s="25" t="n">
        <f aca="false">INDEX('3 Mock CerviScan'!$H$3:$H$302,MATCH(B87,'3 Mock CerviScan'!$B$3:$B$302,0))</f>
        <v>46313</v>
      </c>
      <c r="P87" s="19" t="s">
        <v>770</v>
      </c>
    </row>
    <row r="88" customFormat="false" ht="15" hidden="false" customHeight="true" outlineLevel="0" collapsed="false">
      <c r="A88" s="26" t="s">
        <v>769</v>
      </c>
      <c r="B88" s="19" t="s">
        <v>524</v>
      </c>
      <c r="C88" s="19" t="str">
        <f aca="false">INDEX('3 Mock CerviScan'!$F$3:$F$302,MATCH(B88,'3 Mock CerviScan'!$B$3:$B$302,0))</f>
        <v>P-0086</v>
      </c>
      <c r="D88" s="19" t="str">
        <f aca="false">IFERROR(AVERAGEIFS('3 Mock CerviScan'!$E$3:$E$302,'3 Mock CerviScan'!$B$3:$B$302,$B88,'3 Mock CerviScan'!$C$3:$C$302,"HPV16"),"")</f>
        <v/>
      </c>
      <c r="E88" s="19" t="str">
        <f aca="false">IFERROR(AVERAGEIFS('3 Mock CerviScan'!$E$3:$E$302,'3 Mock CerviScan'!$B$3:$B$302,$B88,'3 Mock CerviScan'!$C$3:$C$302,"HPV18"),"")</f>
        <v/>
      </c>
      <c r="F88" s="19" t="str">
        <f aca="false">IFERROR(AVERAGEIFS('3 Mock CerviScan'!$E$3:$E$302,'3 Mock CerviScan'!$B$3:$B$302,$B88,'3 Mock CerviScan'!$C$3:$C$302,"HPV52"),"")</f>
        <v/>
      </c>
      <c r="G88" s="19" t="str">
        <f aca="false">IFERROR(AVERAGEIFS('3 Mock CerviScan'!$E$3:$E$302,'3 Mock CerviScan'!$B$3:$B$302,$B88,'3 Mock CerviScan'!$C$3:$C$302,"HR lain (11 tipe)"),"")</f>
        <v/>
      </c>
      <c r="H88" s="19" t="n">
        <f aca="false">IFERROR(AVERAGEIFS('3 Mock CerviScan'!$E$3:$E$302,'3 Mock CerviScan'!$B$3:$B$302,$B88,'3 Mock CerviScan'!$C$3:$C$302,"Beta-globin (IC)"),"")</f>
        <v>23.2</v>
      </c>
      <c r="I88" s="19" t="str">
        <f aca="false">IF(L88="Tidak","Invalid",IF(AND(ISNUMBER(D88),D88&lt;'Baca Dulu'!$B$13),"Positif","Negatif"))</f>
        <v>Negatif</v>
      </c>
      <c r="J88" s="19" t="str">
        <f aca="false">IF(L88="Tidak","Invalid",IF(AND(ISNUMBER(E88),E88&lt;'Baca Dulu'!$B$13),"Positif","Negatif"))</f>
        <v>Negatif</v>
      </c>
      <c r="K88" s="19" t="str">
        <f aca="false">IF(L88="Tidak","Invalid",IF(OR(AND(ISNUMBER(F88),F88&lt;'Baca Dulu'!$B$13),AND(ISNUMBER(G88),G88&lt;'Baca Dulu'!$B$13)),"Positif","Negatif"))</f>
        <v>Negatif</v>
      </c>
      <c r="L88" s="19" t="str">
        <f aca="false">IF(AND(ISNUMBER(H88),H88&lt;='Baca Dulu'!$B$14),"Ya","Tidak")</f>
        <v>Ya</v>
      </c>
      <c r="M88" s="19" t="str">
        <f aca="false">IF(L88="Tidak","Invalid",IF(OR(I88="Positif",J88="Positif"),"Positif 16/18",IF(K88="Positif","Positif lain","Negatif")))</f>
        <v>Negatif</v>
      </c>
      <c r="N88" s="24" t="str">
        <f aca="false">IF(AND(L88="Ya",COUNT(D88:G88)&gt;0),MIN(D88:G88)-H88,"")</f>
        <v/>
      </c>
      <c r="O88" s="25" t="n">
        <f aca="false">INDEX('3 Mock CerviScan'!$H$3:$H$302,MATCH(B88,'3 Mock CerviScan'!$B$3:$B$302,0))</f>
        <v>46308</v>
      </c>
      <c r="P88" s="19" t="s">
        <v>770</v>
      </c>
    </row>
    <row r="89" customFormat="false" ht="15" hidden="false" customHeight="true" outlineLevel="0" collapsed="false">
      <c r="A89" s="26" t="s">
        <v>769</v>
      </c>
      <c r="B89" s="19" t="s">
        <v>527</v>
      </c>
      <c r="C89" s="19" t="str">
        <f aca="false">INDEX('3 Mock CerviScan'!$F$3:$F$302,MATCH(B89,'3 Mock CerviScan'!$B$3:$B$302,0))</f>
        <v>P-0087</v>
      </c>
      <c r="D89" s="19" t="str">
        <f aca="false">IFERROR(AVERAGEIFS('3 Mock CerviScan'!$E$3:$E$302,'3 Mock CerviScan'!$B$3:$B$302,$B89,'3 Mock CerviScan'!$C$3:$C$302,"HPV16"),"")</f>
        <v/>
      </c>
      <c r="E89" s="19" t="str">
        <f aca="false">IFERROR(AVERAGEIFS('3 Mock CerviScan'!$E$3:$E$302,'3 Mock CerviScan'!$B$3:$B$302,$B89,'3 Mock CerviScan'!$C$3:$C$302,"HPV18"),"")</f>
        <v/>
      </c>
      <c r="F89" s="19" t="str">
        <f aca="false">IFERROR(AVERAGEIFS('3 Mock CerviScan'!$E$3:$E$302,'3 Mock CerviScan'!$B$3:$B$302,$B89,'3 Mock CerviScan'!$C$3:$C$302,"HPV52"),"")</f>
        <v/>
      </c>
      <c r="G89" s="19" t="str">
        <f aca="false">IFERROR(AVERAGEIFS('3 Mock CerviScan'!$E$3:$E$302,'3 Mock CerviScan'!$B$3:$B$302,$B89,'3 Mock CerviScan'!$C$3:$C$302,"HR lain (11 tipe)"),"")</f>
        <v/>
      </c>
      <c r="H89" s="19" t="n">
        <f aca="false">IFERROR(AVERAGEIFS('3 Mock CerviScan'!$E$3:$E$302,'3 Mock CerviScan'!$B$3:$B$302,$B89,'3 Mock CerviScan'!$C$3:$C$302,"Beta-globin (IC)"),"")</f>
        <v>25.8</v>
      </c>
      <c r="I89" s="19" t="str">
        <f aca="false">IF(L89="Tidak","Invalid",IF(AND(ISNUMBER(D89),D89&lt;'Baca Dulu'!$B$13),"Positif","Negatif"))</f>
        <v>Negatif</v>
      </c>
      <c r="J89" s="19" t="str">
        <f aca="false">IF(L89="Tidak","Invalid",IF(AND(ISNUMBER(E89),E89&lt;'Baca Dulu'!$B$13),"Positif","Negatif"))</f>
        <v>Negatif</v>
      </c>
      <c r="K89" s="19" t="str">
        <f aca="false">IF(L89="Tidak","Invalid",IF(OR(AND(ISNUMBER(F89),F89&lt;'Baca Dulu'!$B$13),AND(ISNUMBER(G89),G89&lt;'Baca Dulu'!$B$13)),"Positif","Negatif"))</f>
        <v>Negatif</v>
      </c>
      <c r="L89" s="19" t="str">
        <f aca="false">IF(AND(ISNUMBER(H89),H89&lt;='Baca Dulu'!$B$14),"Ya","Tidak")</f>
        <v>Ya</v>
      </c>
      <c r="M89" s="19" t="str">
        <f aca="false">IF(L89="Tidak","Invalid",IF(OR(I89="Positif",J89="Positif"),"Positif 16/18",IF(K89="Positif","Positif lain","Negatif")))</f>
        <v>Negatif</v>
      </c>
      <c r="N89" s="24" t="str">
        <f aca="false">IF(AND(L89="Ya",COUNT(D89:G89)&gt;0),MIN(D89:G89)-H89,"")</f>
        <v/>
      </c>
      <c r="O89" s="25" t="n">
        <f aca="false">INDEX('3 Mock CerviScan'!$H$3:$H$302,MATCH(B89,'3 Mock CerviScan'!$B$3:$B$302,0))</f>
        <v>46312</v>
      </c>
      <c r="P89" s="19" t="s">
        <v>770</v>
      </c>
    </row>
    <row r="90" customFormat="false" ht="15" hidden="false" customHeight="true" outlineLevel="0" collapsed="false">
      <c r="A90" s="26" t="s">
        <v>769</v>
      </c>
      <c r="B90" s="19" t="s">
        <v>530</v>
      </c>
      <c r="C90" s="19" t="str">
        <f aca="false">INDEX('3 Mock CerviScan'!$F$3:$F$302,MATCH(B90,'3 Mock CerviScan'!$B$3:$B$302,0))</f>
        <v>P-0088</v>
      </c>
      <c r="D90" s="19" t="str">
        <f aca="false">IFERROR(AVERAGEIFS('3 Mock CerviScan'!$E$3:$E$302,'3 Mock CerviScan'!$B$3:$B$302,$B90,'3 Mock CerviScan'!$C$3:$C$302,"HPV16"),"")</f>
        <v/>
      </c>
      <c r="E90" s="19" t="str">
        <f aca="false">IFERROR(AVERAGEIFS('3 Mock CerviScan'!$E$3:$E$302,'3 Mock CerviScan'!$B$3:$B$302,$B90,'3 Mock CerviScan'!$C$3:$C$302,"HPV18"),"")</f>
        <v/>
      </c>
      <c r="F90" s="19" t="str">
        <f aca="false">IFERROR(AVERAGEIFS('3 Mock CerviScan'!$E$3:$E$302,'3 Mock CerviScan'!$B$3:$B$302,$B90,'3 Mock CerviScan'!$C$3:$C$302,"HPV52"),"")</f>
        <v/>
      </c>
      <c r="G90" s="19" t="str">
        <f aca="false">IFERROR(AVERAGEIFS('3 Mock CerviScan'!$E$3:$E$302,'3 Mock CerviScan'!$B$3:$B$302,$B90,'3 Mock CerviScan'!$C$3:$C$302,"HR lain (11 tipe)"),"")</f>
        <v/>
      </c>
      <c r="H90" s="19" t="n">
        <f aca="false">IFERROR(AVERAGEIFS('3 Mock CerviScan'!$E$3:$E$302,'3 Mock CerviScan'!$B$3:$B$302,$B90,'3 Mock CerviScan'!$C$3:$C$302,"Beta-globin (IC)"),"")</f>
        <v>27.8</v>
      </c>
      <c r="I90" s="19" t="str">
        <f aca="false">IF(L90="Tidak","Invalid",IF(AND(ISNUMBER(D90),D90&lt;'Baca Dulu'!$B$13),"Positif","Negatif"))</f>
        <v>Negatif</v>
      </c>
      <c r="J90" s="19" t="str">
        <f aca="false">IF(L90="Tidak","Invalid",IF(AND(ISNUMBER(E90),E90&lt;'Baca Dulu'!$B$13),"Positif","Negatif"))</f>
        <v>Negatif</v>
      </c>
      <c r="K90" s="19" t="str">
        <f aca="false">IF(L90="Tidak","Invalid",IF(OR(AND(ISNUMBER(F90),F90&lt;'Baca Dulu'!$B$13),AND(ISNUMBER(G90),G90&lt;'Baca Dulu'!$B$13)),"Positif","Negatif"))</f>
        <v>Negatif</v>
      </c>
      <c r="L90" s="19" t="str">
        <f aca="false">IF(AND(ISNUMBER(H90),H90&lt;='Baca Dulu'!$B$14),"Ya","Tidak")</f>
        <v>Ya</v>
      </c>
      <c r="M90" s="19" t="str">
        <f aca="false">IF(L90="Tidak","Invalid",IF(OR(I90="Positif",J90="Positif"),"Positif 16/18",IF(K90="Positif","Positif lain","Negatif")))</f>
        <v>Negatif</v>
      </c>
      <c r="N90" s="24" t="str">
        <f aca="false">IF(AND(L90="Ya",COUNT(D90:G90)&gt;0),MIN(D90:G90)-H90,"")</f>
        <v/>
      </c>
      <c r="O90" s="25" t="n">
        <f aca="false">INDEX('3 Mock CerviScan'!$H$3:$H$302,MATCH(B90,'3 Mock CerviScan'!$B$3:$B$302,0))</f>
        <v>46303</v>
      </c>
      <c r="P90" s="19" t="s">
        <v>770</v>
      </c>
    </row>
    <row r="91" customFormat="false" ht="15" hidden="false" customHeight="true" outlineLevel="0" collapsed="false">
      <c r="A91" s="26" t="s">
        <v>769</v>
      </c>
      <c r="B91" s="19" t="s">
        <v>533</v>
      </c>
      <c r="C91" s="19" t="str">
        <f aca="false">INDEX('3 Mock CerviScan'!$F$3:$F$302,MATCH(B91,'3 Mock CerviScan'!$B$3:$B$302,0))</f>
        <v>P-0089</v>
      </c>
      <c r="D91" s="19" t="str">
        <f aca="false">IFERROR(AVERAGEIFS('3 Mock CerviScan'!$E$3:$E$302,'3 Mock CerviScan'!$B$3:$B$302,$B91,'3 Mock CerviScan'!$C$3:$C$302,"HPV16"),"")</f>
        <v/>
      </c>
      <c r="E91" s="19" t="str">
        <f aca="false">IFERROR(AVERAGEIFS('3 Mock CerviScan'!$E$3:$E$302,'3 Mock CerviScan'!$B$3:$B$302,$B91,'3 Mock CerviScan'!$C$3:$C$302,"HPV18"),"")</f>
        <v/>
      </c>
      <c r="F91" s="19" t="str">
        <f aca="false">IFERROR(AVERAGEIFS('3 Mock CerviScan'!$E$3:$E$302,'3 Mock CerviScan'!$B$3:$B$302,$B91,'3 Mock CerviScan'!$C$3:$C$302,"HPV52"),"")</f>
        <v/>
      </c>
      <c r="G91" s="19" t="str">
        <f aca="false">IFERROR(AVERAGEIFS('3 Mock CerviScan'!$E$3:$E$302,'3 Mock CerviScan'!$B$3:$B$302,$B91,'3 Mock CerviScan'!$C$3:$C$302,"HR lain (11 tipe)"),"")</f>
        <v/>
      </c>
      <c r="H91" s="19" t="n">
        <f aca="false">IFERROR(AVERAGEIFS('3 Mock CerviScan'!$E$3:$E$302,'3 Mock CerviScan'!$B$3:$B$302,$B91,'3 Mock CerviScan'!$C$3:$C$302,"Beta-globin (IC)"),"")</f>
        <v>24.8</v>
      </c>
      <c r="I91" s="19" t="str">
        <f aca="false">IF(L91="Tidak","Invalid",IF(AND(ISNUMBER(D91),D91&lt;'Baca Dulu'!$B$13),"Positif","Negatif"))</f>
        <v>Negatif</v>
      </c>
      <c r="J91" s="19" t="str">
        <f aca="false">IF(L91="Tidak","Invalid",IF(AND(ISNUMBER(E91),E91&lt;'Baca Dulu'!$B$13),"Positif","Negatif"))</f>
        <v>Negatif</v>
      </c>
      <c r="K91" s="19" t="str">
        <f aca="false">IF(L91="Tidak","Invalid",IF(OR(AND(ISNUMBER(F91),F91&lt;'Baca Dulu'!$B$13),AND(ISNUMBER(G91),G91&lt;'Baca Dulu'!$B$13)),"Positif","Negatif"))</f>
        <v>Negatif</v>
      </c>
      <c r="L91" s="19" t="str">
        <f aca="false">IF(AND(ISNUMBER(H91),H91&lt;='Baca Dulu'!$B$14),"Ya","Tidak")</f>
        <v>Ya</v>
      </c>
      <c r="M91" s="19" t="str">
        <f aca="false">IF(L91="Tidak","Invalid",IF(OR(I91="Positif",J91="Positif"),"Positif 16/18",IF(K91="Positif","Positif lain","Negatif")))</f>
        <v>Negatif</v>
      </c>
      <c r="N91" s="24" t="str">
        <f aca="false">IF(AND(L91="Ya",COUNT(D91:G91)&gt;0),MIN(D91:G91)-H91,"")</f>
        <v/>
      </c>
      <c r="O91" s="25" t="n">
        <f aca="false">INDEX('3 Mock CerviScan'!$H$3:$H$302,MATCH(B91,'3 Mock CerviScan'!$B$3:$B$302,0))</f>
        <v>46309</v>
      </c>
      <c r="P91" s="19" t="s">
        <v>770</v>
      </c>
    </row>
    <row r="92" customFormat="false" ht="15" hidden="false" customHeight="true" outlineLevel="0" collapsed="false">
      <c r="A92" s="26" t="s">
        <v>769</v>
      </c>
      <c r="B92" s="19" t="s">
        <v>536</v>
      </c>
      <c r="C92" s="19" t="str">
        <f aca="false">INDEX('3 Mock CerviScan'!$F$3:$F$302,MATCH(B92,'3 Mock CerviScan'!$B$3:$B$302,0))</f>
        <v>P-0090</v>
      </c>
      <c r="D92" s="19" t="n">
        <f aca="false">IFERROR(AVERAGEIFS('3 Mock CerviScan'!$E$3:$E$302,'3 Mock CerviScan'!$B$3:$B$302,$B92,'3 Mock CerviScan'!$C$3:$C$302,"HPV16"),"")</f>
        <v>26.2</v>
      </c>
      <c r="E92" s="19" t="str">
        <f aca="false">IFERROR(AVERAGEIFS('3 Mock CerviScan'!$E$3:$E$302,'3 Mock CerviScan'!$B$3:$B$302,$B92,'3 Mock CerviScan'!$C$3:$C$302,"HPV18"),"")</f>
        <v/>
      </c>
      <c r="F92" s="19" t="str">
        <f aca="false">IFERROR(AVERAGEIFS('3 Mock CerviScan'!$E$3:$E$302,'3 Mock CerviScan'!$B$3:$B$302,$B92,'3 Mock CerviScan'!$C$3:$C$302,"HPV52"),"")</f>
        <v/>
      </c>
      <c r="G92" s="19" t="str">
        <f aca="false">IFERROR(AVERAGEIFS('3 Mock CerviScan'!$E$3:$E$302,'3 Mock CerviScan'!$B$3:$B$302,$B92,'3 Mock CerviScan'!$C$3:$C$302,"HR lain (11 tipe)"),"")</f>
        <v/>
      </c>
      <c r="H92" s="19" t="n">
        <f aca="false">IFERROR(AVERAGEIFS('3 Mock CerviScan'!$E$3:$E$302,'3 Mock CerviScan'!$B$3:$B$302,$B92,'3 Mock CerviScan'!$C$3:$C$302,"Beta-globin (IC)"),"")</f>
        <v>27.9</v>
      </c>
      <c r="I92" s="19" t="str">
        <f aca="false">IF(L92="Tidak","Invalid",IF(AND(ISNUMBER(D92),D92&lt;'Baca Dulu'!$B$13),"Positif","Negatif"))</f>
        <v>Positif</v>
      </c>
      <c r="J92" s="19" t="str">
        <f aca="false">IF(L92="Tidak","Invalid",IF(AND(ISNUMBER(E92),E92&lt;'Baca Dulu'!$B$13),"Positif","Negatif"))</f>
        <v>Negatif</v>
      </c>
      <c r="K92" s="19" t="str">
        <f aca="false">IF(L92="Tidak","Invalid",IF(OR(AND(ISNUMBER(F92),F92&lt;'Baca Dulu'!$B$13),AND(ISNUMBER(G92),G92&lt;'Baca Dulu'!$B$13)),"Positif","Negatif"))</f>
        <v>Negatif</v>
      </c>
      <c r="L92" s="19" t="str">
        <f aca="false">IF(AND(ISNUMBER(H92),H92&lt;='Baca Dulu'!$B$14),"Ya","Tidak")</f>
        <v>Ya</v>
      </c>
      <c r="M92" s="19" t="str">
        <f aca="false">IF(L92="Tidak","Invalid",IF(OR(I92="Positif",J92="Positif"),"Positif 16/18",IF(K92="Positif","Positif lain","Negatif")))</f>
        <v>Positif 16/18</v>
      </c>
      <c r="N92" s="24" t="n">
        <f aca="false">IF(AND(L92="Ya",COUNT(D92:G92)&gt;0),MIN(D92:G92)-H92,"")</f>
        <v>-1.7</v>
      </c>
      <c r="O92" s="25" t="n">
        <f aca="false">INDEX('3 Mock CerviScan'!$H$3:$H$302,MATCH(B92,'3 Mock CerviScan'!$B$3:$B$302,0))</f>
        <v>46312</v>
      </c>
      <c r="P92" s="19" t="s">
        <v>770</v>
      </c>
    </row>
    <row r="93" customFormat="false" ht="15" hidden="false" customHeight="true" outlineLevel="0" collapsed="false">
      <c r="A93" s="26" t="s">
        <v>769</v>
      </c>
      <c r="B93" s="19" t="s">
        <v>539</v>
      </c>
      <c r="C93" s="19" t="str">
        <f aca="false">INDEX('3 Mock CerviScan'!$F$3:$F$302,MATCH(B93,'3 Mock CerviScan'!$B$3:$B$302,0))</f>
        <v>P-0091</v>
      </c>
      <c r="D93" s="19" t="str">
        <f aca="false">IFERROR(AVERAGEIFS('3 Mock CerviScan'!$E$3:$E$302,'3 Mock CerviScan'!$B$3:$B$302,$B93,'3 Mock CerviScan'!$C$3:$C$302,"HPV16"),"")</f>
        <v/>
      </c>
      <c r="E93" s="19" t="str">
        <f aca="false">IFERROR(AVERAGEIFS('3 Mock CerviScan'!$E$3:$E$302,'3 Mock CerviScan'!$B$3:$B$302,$B93,'3 Mock CerviScan'!$C$3:$C$302,"HPV18"),"")</f>
        <v/>
      </c>
      <c r="F93" s="19" t="str">
        <f aca="false">IFERROR(AVERAGEIFS('3 Mock CerviScan'!$E$3:$E$302,'3 Mock CerviScan'!$B$3:$B$302,$B93,'3 Mock CerviScan'!$C$3:$C$302,"HPV52"),"")</f>
        <v/>
      </c>
      <c r="G93" s="19" t="str">
        <f aca="false">IFERROR(AVERAGEIFS('3 Mock CerviScan'!$E$3:$E$302,'3 Mock CerviScan'!$B$3:$B$302,$B93,'3 Mock CerviScan'!$C$3:$C$302,"HR lain (11 tipe)"),"")</f>
        <v/>
      </c>
      <c r="H93" s="19" t="n">
        <f aca="false">IFERROR(AVERAGEIFS('3 Mock CerviScan'!$E$3:$E$302,'3 Mock CerviScan'!$B$3:$B$302,$B93,'3 Mock CerviScan'!$C$3:$C$302,"Beta-globin (IC)"),"")</f>
        <v>26</v>
      </c>
      <c r="I93" s="19" t="str">
        <f aca="false">IF(L93="Tidak","Invalid",IF(AND(ISNUMBER(D93),D93&lt;'Baca Dulu'!$B$13),"Positif","Negatif"))</f>
        <v>Negatif</v>
      </c>
      <c r="J93" s="19" t="str">
        <f aca="false">IF(L93="Tidak","Invalid",IF(AND(ISNUMBER(E93),E93&lt;'Baca Dulu'!$B$13),"Positif","Negatif"))</f>
        <v>Negatif</v>
      </c>
      <c r="K93" s="19" t="str">
        <f aca="false">IF(L93="Tidak","Invalid",IF(OR(AND(ISNUMBER(F93),F93&lt;'Baca Dulu'!$B$13),AND(ISNUMBER(G93),G93&lt;'Baca Dulu'!$B$13)),"Positif","Negatif"))</f>
        <v>Negatif</v>
      </c>
      <c r="L93" s="19" t="str">
        <f aca="false">IF(AND(ISNUMBER(H93),H93&lt;='Baca Dulu'!$B$14),"Ya","Tidak")</f>
        <v>Ya</v>
      </c>
      <c r="M93" s="19" t="str">
        <f aca="false">IF(L93="Tidak","Invalid",IF(OR(I93="Positif",J93="Positif"),"Positif 16/18",IF(K93="Positif","Positif lain","Negatif")))</f>
        <v>Negatif</v>
      </c>
      <c r="N93" s="24" t="str">
        <f aca="false">IF(AND(L93="Ya",COUNT(D93:G93)&gt;0),MIN(D93:G93)-H93,"")</f>
        <v/>
      </c>
      <c r="O93" s="25" t="n">
        <f aca="false">INDEX('3 Mock CerviScan'!$H$3:$H$302,MATCH(B93,'3 Mock CerviScan'!$B$3:$B$302,0))</f>
        <v>46304</v>
      </c>
      <c r="P93" s="19" t="s">
        <v>770</v>
      </c>
    </row>
    <row r="94" customFormat="false" ht="15" hidden="false" customHeight="true" outlineLevel="0" collapsed="false">
      <c r="A94" s="26" t="s">
        <v>769</v>
      </c>
      <c r="B94" s="19" t="s">
        <v>542</v>
      </c>
      <c r="C94" s="19" t="str">
        <f aca="false">INDEX('3 Mock CerviScan'!$F$3:$F$302,MATCH(B94,'3 Mock CerviScan'!$B$3:$B$302,0))</f>
        <v>P-0092</v>
      </c>
      <c r="D94" s="19" t="str">
        <f aca="false">IFERROR(AVERAGEIFS('3 Mock CerviScan'!$E$3:$E$302,'3 Mock CerviScan'!$B$3:$B$302,$B94,'3 Mock CerviScan'!$C$3:$C$302,"HPV16"),"")</f>
        <v/>
      </c>
      <c r="E94" s="19" t="str">
        <f aca="false">IFERROR(AVERAGEIFS('3 Mock CerviScan'!$E$3:$E$302,'3 Mock CerviScan'!$B$3:$B$302,$B94,'3 Mock CerviScan'!$C$3:$C$302,"HPV18"),"")</f>
        <v/>
      </c>
      <c r="F94" s="19" t="n">
        <f aca="false">IFERROR(AVERAGEIFS('3 Mock CerviScan'!$E$3:$E$302,'3 Mock CerviScan'!$B$3:$B$302,$B94,'3 Mock CerviScan'!$C$3:$C$302,"HPV52"),"")</f>
        <v>24.7</v>
      </c>
      <c r="G94" s="19" t="str">
        <f aca="false">IFERROR(AVERAGEIFS('3 Mock CerviScan'!$E$3:$E$302,'3 Mock CerviScan'!$B$3:$B$302,$B94,'3 Mock CerviScan'!$C$3:$C$302,"HR lain (11 tipe)"),"")</f>
        <v/>
      </c>
      <c r="H94" s="19" t="n">
        <f aca="false">IFERROR(AVERAGEIFS('3 Mock CerviScan'!$E$3:$E$302,'3 Mock CerviScan'!$B$3:$B$302,$B94,'3 Mock CerviScan'!$C$3:$C$302,"Beta-globin (IC)"),"")</f>
        <v>24.9</v>
      </c>
      <c r="I94" s="19" t="str">
        <f aca="false">IF(L94="Tidak","Invalid",IF(AND(ISNUMBER(D94),D94&lt;'Baca Dulu'!$B$13),"Positif","Negatif"))</f>
        <v>Negatif</v>
      </c>
      <c r="J94" s="19" t="str">
        <f aca="false">IF(L94="Tidak","Invalid",IF(AND(ISNUMBER(E94),E94&lt;'Baca Dulu'!$B$13),"Positif","Negatif"))</f>
        <v>Negatif</v>
      </c>
      <c r="K94" s="19" t="str">
        <f aca="false">IF(L94="Tidak","Invalid",IF(OR(AND(ISNUMBER(F94),F94&lt;'Baca Dulu'!$B$13),AND(ISNUMBER(G94),G94&lt;'Baca Dulu'!$B$13)),"Positif","Negatif"))</f>
        <v>Positif</v>
      </c>
      <c r="L94" s="19" t="str">
        <f aca="false">IF(AND(ISNUMBER(H94),H94&lt;='Baca Dulu'!$B$14),"Ya","Tidak")</f>
        <v>Ya</v>
      </c>
      <c r="M94" s="19" t="str">
        <f aca="false">IF(L94="Tidak","Invalid",IF(OR(I94="Positif",J94="Positif"),"Positif 16/18",IF(K94="Positif","Positif lain","Negatif")))</f>
        <v>Positif lain</v>
      </c>
      <c r="N94" s="24" t="n">
        <f aca="false">IF(AND(L94="Ya",COUNT(D94:G94)&gt;0),MIN(D94:G94)-H94,"")</f>
        <v>-0.199999999999999</v>
      </c>
      <c r="O94" s="25" t="n">
        <f aca="false">INDEX('3 Mock CerviScan'!$H$3:$H$302,MATCH(B94,'3 Mock CerviScan'!$B$3:$B$302,0))</f>
        <v>46305</v>
      </c>
      <c r="P94" s="19" t="s">
        <v>770</v>
      </c>
    </row>
    <row r="95" customFormat="false" ht="15" hidden="false" customHeight="true" outlineLevel="0" collapsed="false">
      <c r="A95" s="26" t="s">
        <v>769</v>
      </c>
      <c r="B95" s="19" t="s">
        <v>545</v>
      </c>
      <c r="C95" s="19" t="str">
        <f aca="false">INDEX('3 Mock CerviScan'!$F$3:$F$302,MATCH(B95,'3 Mock CerviScan'!$B$3:$B$302,0))</f>
        <v>P-0093</v>
      </c>
      <c r="D95" s="19" t="str">
        <f aca="false">IFERROR(AVERAGEIFS('3 Mock CerviScan'!$E$3:$E$302,'3 Mock CerviScan'!$B$3:$B$302,$B95,'3 Mock CerviScan'!$C$3:$C$302,"HPV16"),"")</f>
        <v/>
      </c>
      <c r="E95" s="19" t="str">
        <f aca="false">IFERROR(AVERAGEIFS('3 Mock CerviScan'!$E$3:$E$302,'3 Mock CerviScan'!$B$3:$B$302,$B95,'3 Mock CerviScan'!$C$3:$C$302,"HPV18"),"")</f>
        <v/>
      </c>
      <c r="F95" s="19" t="str">
        <f aca="false">IFERROR(AVERAGEIFS('3 Mock CerviScan'!$E$3:$E$302,'3 Mock CerviScan'!$B$3:$B$302,$B95,'3 Mock CerviScan'!$C$3:$C$302,"HPV52"),"")</f>
        <v/>
      </c>
      <c r="G95" s="19" t="str">
        <f aca="false">IFERROR(AVERAGEIFS('3 Mock CerviScan'!$E$3:$E$302,'3 Mock CerviScan'!$B$3:$B$302,$B95,'3 Mock CerviScan'!$C$3:$C$302,"HR lain (11 tipe)"),"")</f>
        <v/>
      </c>
      <c r="H95" s="19" t="n">
        <f aca="false">IFERROR(AVERAGEIFS('3 Mock CerviScan'!$E$3:$E$302,'3 Mock CerviScan'!$B$3:$B$302,$B95,'3 Mock CerviScan'!$C$3:$C$302,"Beta-globin (IC)"),"")</f>
        <v>22.1</v>
      </c>
      <c r="I95" s="19" t="str">
        <f aca="false">IF(L95="Tidak","Invalid",IF(AND(ISNUMBER(D95),D95&lt;'Baca Dulu'!$B$13),"Positif","Negatif"))</f>
        <v>Negatif</v>
      </c>
      <c r="J95" s="19" t="str">
        <f aca="false">IF(L95="Tidak","Invalid",IF(AND(ISNUMBER(E95),E95&lt;'Baca Dulu'!$B$13),"Positif","Negatif"))</f>
        <v>Negatif</v>
      </c>
      <c r="K95" s="19" t="str">
        <f aca="false">IF(L95="Tidak","Invalid",IF(OR(AND(ISNUMBER(F95),F95&lt;'Baca Dulu'!$B$13),AND(ISNUMBER(G95),G95&lt;'Baca Dulu'!$B$13)),"Positif","Negatif"))</f>
        <v>Negatif</v>
      </c>
      <c r="L95" s="19" t="str">
        <f aca="false">IF(AND(ISNUMBER(H95),H95&lt;='Baca Dulu'!$B$14),"Ya","Tidak")</f>
        <v>Ya</v>
      </c>
      <c r="M95" s="19" t="str">
        <f aca="false">IF(L95="Tidak","Invalid",IF(OR(I95="Positif",J95="Positif"),"Positif 16/18",IF(K95="Positif","Positif lain","Negatif")))</f>
        <v>Negatif</v>
      </c>
      <c r="N95" s="24" t="str">
        <f aca="false">IF(AND(L95="Ya",COUNT(D95:G95)&gt;0),MIN(D95:G95)-H95,"")</f>
        <v/>
      </c>
      <c r="O95" s="25" t="n">
        <f aca="false">INDEX('3 Mock CerviScan'!$H$3:$H$302,MATCH(B95,'3 Mock CerviScan'!$B$3:$B$302,0))</f>
        <v>46313</v>
      </c>
      <c r="P95" s="19" t="s">
        <v>770</v>
      </c>
    </row>
    <row r="96" customFormat="false" ht="15" hidden="false" customHeight="true" outlineLevel="0" collapsed="false">
      <c r="A96" s="26" t="s">
        <v>769</v>
      </c>
      <c r="B96" s="19" t="s">
        <v>548</v>
      </c>
      <c r="C96" s="19" t="str">
        <f aca="false">INDEX('3 Mock CerviScan'!$F$3:$F$302,MATCH(B96,'3 Mock CerviScan'!$B$3:$B$302,0))</f>
        <v>P-0094</v>
      </c>
      <c r="D96" s="19" t="str">
        <f aca="false">IFERROR(AVERAGEIFS('3 Mock CerviScan'!$E$3:$E$302,'3 Mock CerviScan'!$B$3:$B$302,$B96,'3 Mock CerviScan'!$C$3:$C$302,"HPV16"),"")</f>
        <v/>
      </c>
      <c r="E96" s="19" t="str">
        <f aca="false">IFERROR(AVERAGEIFS('3 Mock CerviScan'!$E$3:$E$302,'3 Mock CerviScan'!$B$3:$B$302,$B96,'3 Mock CerviScan'!$C$3:$C$302,"HPV18"),"")</f>
        <v/>
      </c>
      <c r="F96" s="19" t="str">
        <f aca="false">IFERROR(AVERAGEIFS('3 Mock CerviScan'!$E$3:$E$302,'3 Mock CerviScan'!$B$3:$B$302,$B96,'3 Mock CerviScan'!$C$3:$C$302,"HPV52"),"")</f>
        <v/>
      </c>
      <c r="G96" s="19" t="str">
        <f aca="false">IFERROR(AVERAGEIFS('3 Mock CerviScan'!$E$3:$E$302,'3 Mock CerviScan'!$B$3:$B$302,$B96,'3 Mock CerviScan'!$C$3:$C$302,"HR lain (11 tipe)"),"")</f>
        <v/>
      </c>
      <c r="H96" s="19" t="n">
        <f aca="false">IFERROR(AVERAGEIFS('3 Mock CerviScan'!$E$3:$E$302,'3 Mock CerviScan'!$B$3:$B$302,$B96,'3 Mock CerviScan'!$C$3:$C$302,"Beta-globin (IC)"),"")</f>
        <v>26.4</v>
      </c>
      <c r="I96" s="19" t="str">
        <f aca="false">IF(L96="Tidak","Invalid",IF(AND(ISNUMBER(D96),D96&lt;'Baca Dulu'!$B$13),"Positif","Negatif"))</f>
        <v>Negatif</v>
      </c>
      <c r="J96" s="19" t="str">
        <f aca="false">IF(L96="Tidak","Invalid",IF(AND(ISNUMBER(E96),E96&lt;'Baca Dulu'!$B$13),"Positif","Negatif"))</f>
        <v>Negatif</v>
      </c>
      <c r="K96" s="19" t="str">
        <f aca="false">IF(L96="Tidak","Invalid",IF(OR(AND(ISNUMBER(F96),F96&lt;'Baca Dulu'!$B$13),AND(ISNUMBER(G96),G96&lt;'Baca Dulu'!$B$13)),"Positif","Negatif"))</f>
        <v>Negatif</v>
      </c>
      <c r="L96" s="19" t="str">
        <f aca="false">IF(AND(ISNUMBER(H96),H96&lt;='Baca Dulu'!$B$14),"Ya","Tidak")</f>
        <v>Ya</v>
      </c>
      <c r="M96" s="19" t="str">
        <f aca="false">IF(L96="Tidak","Invalid",IF(OR(I96="Positif",J96="Positif"),"Positif 16/18",IF(K96="Positif","Positif lain","Negatif")))</f>
        <v>Negatif</v>
      </c>
      <c r="N96" s="24" t="str">
        <f aca="false">IF(AND(L96="Ya",COUNT(D96:G96)&gt;0),MIN(D96:G96)-H96,"")</f>
        <v/>
      </c>
      <c r="O96" s="25" t="n">
        <f aca="false">INDEX('3 Mock CerviScan'!$H$3:$H$302,MATCH(B96,'3 Mock CerviScan'!$B$3:$B$302,0))</f>
        <v>46311</v>
      </c>
      <c r="P96" s="19" t="s">
        <v>770</v>
      </c>
    </row>
    <row r="97" customFormat="false" ht="15" hidden="false" customHeight="true" outlineLevel="0" collapsed="false">
      <c r="A97" s="26" t="s">
        <v>769</v>
      </c>
      <c r="B97" s="19" t="s">
        <v>551</v>
      </c>
      <c r="C97" s="19" t="str">
        <f aca="false">INDEX('3 Mock CerviScan'!$F$3:$F$302,MATCH(B97,'3 Mock CerviScan'!$B$3:$B$302,0))</f>
        <v>P-0095</v>
      </c>
      <c r="D97" s="19" t="str">
        <f aca="false">IFERROR(AVERAGEIFS('3 Mock CerviScan'!$E$3:$E$302,'3 Mock CerviScan'!$B$3:$B$302,$B97,'3 Mock CerviScan'!$C$3:$C$302,"HPV16"),"")</f>
        <v/>
      </c>
      <c r="E97" s="19" t="str">
        <f aca="false">IFERROR(AVERAGEIFS('3 Mock CerviScan'!$E$3:$E$302,'3 Mock CerviScan'!$B$3:$B$302,$B97,'3 Mock CerviScan'!$C$3:$C$302,"HPV18"),"")</f>
        <v/>
      </c>
      <c r="F97" s="19" t="str">
        <f aca="false">IFERROR(AVERAGEIFS('3 Mock CerviScan'!$E$3:$E$302,'3 Mock CerviScan'!$B$3:$B$302,$B97,'3 Mock CerviScan'!$C$3:$C$302,"HPV52"),"")</f>
        <v/>
      </c>
      <c r="G97" s="19" t="str">
        <f aca="false">IFERROR(AVERAGEIFS('3 Mock CerviScan'!$E$3:$E$302,'3 Mock CerviScan'!$B$3:$B$302,$B97,'3 Mock CerviScan'!$C$3:$C$302,"HR lain (11 tipe)"),"")</f>
        <v/>
      </c>
      <c r="H97" s="19" t="n">
        <f aca="false">IFERROR(AVERAGEIFS('3 Mock CerviScan'!$E$3:$E$302,'3 Mock CerviScan'!$B$3:$B$302,$B97,'3 Mock CerviScan'!$C$3:$C$302,"Beta-globin (IC)"),"")</f>
        <v>28.2</v>
      </c>
      <c r="I97" s="19" t="str">
        <f aca="false">IF(L97="Tidak","Invalid",IF(AND(ISNUMBER(D97),D97&lt;'Baca Dulu'!$B$13),"Positif","Negatif"))</f>
        <v>Negatif</v>
      </c>
      <c r="J97" s="19" t="str">
        <f aca="false">IF(L97="Tidak","Invalid",IF(AND(ISNUMBER(E97),E97&lt;'Baca Dulu'!$B$13),"Positif","Negatif"))</f>
        <v>Negatif</v>
      </c>
      <c r="K97" s="19" t="str">
        <f aca="false">IF(L97="Tidak","Invalid",IF(OR(AND(ISNUMBER(F97),F97&lt;'Baca Dulu'!$B$13),AND(ISNUMBER(G97),G97&lt;'Baca Dulu'!$B$13)),"Positif","Negatif"))</f>
        <v>Negatif</v>
      </c>
      <c r="L97" s="19" t="str">
        <f aca="false">IF(AND(ISNUMBER(H97),H97&lt;='Baca Dulu'!$B$14),"Ya","Tidak")</f>
        <v>Ya</v>
      </c>
      <c r="M97" s="19" t="str">
        <f aca="false">IF(L97="Tidak","Invalid",IF(OR(I97="Positif",J97="Positif"),"Positif 16/18",IF(K97="Positif","Positif lain","Negatif")))</f>
        <v>Negatif</v>
      </c>
      <c r="N97" s="24" t="str">
        <f aca="false">IF(AND(L97="Ya",COUNT(D97:G97)&gt;0),MIN(D97:G97)-H97,"")</f>
        <v/>
      </c>
      <c r="O97" s="25" t="n">
        <f aca="false">INDEX('3 Mock CerviScan'!$H$3:$H$302,MATCH(B97,'3 Mock CerviScan'!$B$3:$B$302,0))</f>
        <v>46310</v>
      </c>
      <c r="P97" s="19" t="s">
        <v>770</v>
      </c>
    </row>
    <row r="98" customFormat="false" ht="15" hidden="false" customHeight="true" outlineLevel="0" collapsed="false">
      <c r="A98" s="26" t="s">
        <v>769</v>
      </c>
      <c r="B98" s="19" t="s">
        <v>554</v>
      </c>
      <c r="C98" s="19" t="str">
        <f aca="false">INDEX('3 Mock CerviScan'!$F$3:$F$302,MATCH(B98,'3 Mock CerviScan'!$B$3:$B$302,0))</f>
        <v>P-0096</v>
      </c>
      <c r="D98" s="19" t="str">
        <f aca="false">IFERROR(AVERAGEIFS('3 Mock CerviScan'!$E$3:$E$302,'3 Mock CerviScan'!$B$3:$B$302,$B98,'3 Mock CerviScan'!$C$3:$C$302,"HPV16"),"")</f>
        <v/>
      </c>
      <c r="E98" s="19" t="str">
        <f aca="false">IFERROR(AVERAGEIFS('3 Mock CerviScan'!$E$3:$E$302,'3 Mock CerviScan'!$B$3:$B$302,$B98,'3 Mock CerviScan'!$C$3:$C$302,"HPV18"),"")</f>
        <v/>
      </c>
      <c r="F98" s="19" t="str">
        <f aca="false">IFERROR(AVERAGEIFS('3 Mock CerviScan'!$E$3:$E$302,'3 Mock CerviScan'!$B$3:$B$302,$B98,'3 Mock CerviScan'!$C$3:$C$302,"HPV52"),"")</f>
        <v/>
      </c>
      <c r="G98" s="19" t="str">
        <f aca="false">IFERROR(AVERAGEIFS('3 Mock CerviScan'!$E$3:$E$302,'3 Mock CerviScan'!$B$3:$B$302,$B98,'3 Mock CerviScan'!$C$3:$C$302,"HR lain (11 tipe)"),"")</f>
        <v/>
      </c>
      <c r="H98" s="19" t="n">
        <f aca="false">IFERROR(AVERAGEIFS('3 Mock CerviScan'!$E$3:$E$302,'3 Mock CerviScan'!$B$3:$B$302,$B98,'3 Mock CerviScan'!$C$3:$C$302,"Beta-globin (IC)"),"")</f>
        <v>25.6</v>
      </c>
      <c r="I98" s="19" t="str">
        <f aca="false">IF(L98="Tidak","Invalid",IF(AND(ISNUMBER(D98),D98&lt;'Baca Dulu'!$B$13),"Positif","Negatif"))</f>
        <v>Negatif</v>
      </c>
      <c r="J98" s="19" t="str">
        <f aca="false">IF(L98="Tidak","Invalid",IF(AND(ISNUMBER(E98),E98&lt;'Baca Dulu'!$B$13),"Positif","Negatif"))</f>
        <v>Negatif</v>
      </c>
      <c r="K98" s="19" t="str">
        <f aca="false">IF(L98="Tidak","Invalid",IF(OR(AND(ISNUMBER(F98),F98&lt;'Baca Dulu'!$B$13),AND(ISNUMBER(G98),G98&lt;'Baca Dulu'!$B$13)),"Positif","Negatif"))</f>
        <v>Negatif</v>
      </c>
      <c r="L98" s="19" t="str">
        <f aca="false">IF(AND(ISNUMBER(H98),H98&lt;='Baca Dulu'!$B$14),"Ya","Tidak")</f>
        <v>Ya</v>
      </c>
      <c r="M98" s="19" t="str">
        <f aca="false">IF(L98="Tidak","Invalid",IF(OR(I98="Positif",J98="Positif"),"Positif 16/18",IF(K98="Positif","Positif lain","Negatif")))</f>
        <v>Negatif</v>
      </c>
      <c r="N98" s="24" t="str">
        <f aca="false">IF(AND(L98="Ya",COUNT(D98:G98)&gt;0),MIN(D98:G98)-H98,"")</f>
        <v/>
      </c>
      <c r="O98" s="25" t="n">
        <f aca="false">INDEX('3 Mock CerviScan'!$H$3:$H$302,MATCH(B98,'3 Mock CerviScan'!$B$3:$B$302,0))</f>
        <v>46314</v>
      </c>
      <c r="P98" s="19" t="s">
        <v>770</v>
      </c>
    </row>
    <row r="99" customFormat="false" ht="15" hidden="false" customHeight="true" outlineLevel="0" collapsed="false">
      <c r="A99" s="26" t="s">
        <v>769</v>
      </c>
      <c r="B99" s="19" t="s">
        <v>557</v>
      </c>
      <c r="C99" s="19" t="str">
        <f aca="false">INDEX('3 Mock CerviScan'!$F$3:$F$302,MATCH(B99,'3 Mock CerviScan'!$B$3:$B$302,0))</f>
        <v>P-0097</v>
      </c>
      <c r="D99" s="19" t="str">
        <f aca="false">IFERROR(AVERAGEIFS('3 Mock CerviScan'!$E$3:$E$302,'3 Mock CerviScan'!$B$3:$B$302,$B99,'3 Mock CerviScan'!$C$3:$C$302,"HPV16"),"")</f>
        <v/>
      </c>
      <c r="E99" s="19" t="str">
        <f aca="false">IFERROR(AVERAGEIFS('3 Mock CerviScan'!$E$3:$E$302,'3 Mock CerviScan'!$B$3:$B$302,$B99,'3 Mock CerviScan'!$C$3:$C$302,"HPV18"),"")</f>
        <v/>
      </c>
      <c r="F99" s="19" t="str">
        <f aca="false">IFERROR(AVERAGEIFS('3 Mock CerviScan'!$E$3:$E$302,'3 Mock CerviScan'!$B$3:$B$302,$B99,'3 Mock CerviScan'!$C$3:$C$302,"HPV52"),"")</f>
        <v/>
      </c>
      <c r="G99" s="19" t="str">
        <f aca="false">IFERROR(AVERAGEIFS('3 Mock CerviScan'!$E$3:$E$302,'3 Mock CerviScan'!$B$3:$B$302,$B99,'3 Mock CerviScan'!$C$3:$C$302,"HR lain (11 tipe)"),"")</f>
        <v/>
      </c>
      <c r="H99" s="19" t="n">
        <f aca="false">IFERROR(AVERAGEIFS('3 Mock CerviScan'!$E$3:$E$302,'3 Mock CerviScan'!$B$3:$B$302,$B99,'3 Mock CerviScan'!$C$3:$C$302,"Beta-globin (IC)"),"")</f>
        <v>26.2</v>
      </c>
      <c r="I99" s="19" t="str">
        <f aca="false">IF(L99="Tidak","Invalid",IF(AND(ISNUMBER(D99),D99&lt;'Baca Dulu'!$B$13),"Positif","Negatif"))</f>
        <v>Negatif</v>
      </c>
      <c r="J99" s="19" t="str">
        <f aca="false">IF(L99="Tidak","Invalid",IF(AND(ISNUMBER(E99),E99&lt;'Baca Dulu'!$B$13),"Positif","Negatif"))</f>
        <v>Negatif</v>
      </c>
      <c r="K99" s="19" t="str">
        <f aca="false">IF(L99="Tidak","Invalid",IF(OR(AND(ISNUMBER(F99),F99&lt;'Baca Dulu'!$B$13),AND(ISNUMBER(G99),G99&lt;'Baca Dulu'!$B$13)),"Positif","Negatif"))</f>
        <v>Negatif</v>
      </c>
      <c r="L99" s="19" t="str">
        <f aca="false">IF(AND(ISNUMBER(H99),H99&lt;='Baca Dulu'!$B$14),"Ya","Tidak")</f>
        <v>Ya</v>
      </c>
      <c r="M99" s="19" t="str">
        <f aca="false">IF(L99="Tidak","Invalid",IF(OR(I99="Positif",J99="Positif"),"Positif 16/18",IF(K99="Positif","Positif lain","Negatif")))</f>
        <v>Negatif</v>
      </c>
      <c r="N99" s="24" t="str">
        <f aca="false">IF(AND(L99="Ya",COUNT(D99:G99)&gt;0),MIN(D99:G99)-H99,"")</f>
        <v/>
      </c>
      <c r="O99" s="25" t="n">
        <f aca="false">INDEX('3 Mock CerviScan'!$H$3:$H$302,MATCH(B99,'3 Mock CerviScan'!$B$3:$B$302,0))</f>
        <v>46303</v>
      </c>
      <c r="P99" s="19" t="s">
        <v>770</v>
      </c>
    </row>
    <row r="100" customFormat="false" ht="15" hidden="false" customHeight="true" outlineLevel="0" collapsed="false">
      <c r="A100" s="26" t="s">
        <v>769</v>
      </c>
      <c r="B100" s="19" t="s">
        <v>560</v>
      </c>
      <c r="C100" s="19" t="str">
        <f aca="false">INDEX('3 Mock CerviScan'!$F$3:$F$302,MATCH(B100,'3 Mock CerviScan'!$B$3:$B$302,0))</f>
        <v>P-0098</v>
      </c>
      <c r="D100" s="19" t="str">
        <f aca="false">IFERROR(AVERAGEIFS('3 Mock CerviScan'!$E$3:$E$302,'3 Mock CerviScan'!$B$3:$B$302,$B100,'3 Mock CerviScan'!$C$3:$C$302,"HPV16"),"")</f>
        <v/>
      </c>
      <c r="E100" s="19" t="str">
        <f aca="false">IFERROR(AVERAGEIFS('3 Mock CerviScan'!$E$3:$E$302,'3 Mock CerviScan'!$B$3:$B$302,$B100,'3 Mock CerviScan'!$C$3:$C$302,"HPV18"),"")</f>
        <v/>
      </c>
      <c r="F100" s="19" t="str">
        <f aca="false">IFERROR(AVERAGEIFS('3 Mock CerviScan'!$E$3:$E$302,'3 Mock CerviScan'!$B$3:$B$302,$B100,'3 Mock CerviScan'!$C$3:$C$302,"HPV52"),"")</f>
        <v/>
      </c>
      <c r="G100" s="19" t="str">
        <f aca="false">IFERROR(AVERAGEIFS('3 Mock CerviScan'!$E$3:$E$302,'3 Mock CerviScan'!$B$3:$B$302,$B100,'3 Mock CerviScan'!$C$3:$C$302,"HR lain (11 tipe)"),"")</f>
        <v/>
      </c>
      <c r="H100" s="19" t="n">
        <f aca="false">IFERROR(AVERAGEIFS('3 Mock CerviScan'!$E$3:$E$302,'3 Mock CerviScan'!$B$3:$B$302,$B100,'3 Mock CerviScan'!$C$3:$C$302,"Beta-globin (IC)"),"")</f>
        <v>30</v>
      </c>
      <c r="I100" s="19" t="str">
        <f aca="false">IF(L100="Tidak","Invalid",IF(AND(ISNUMBER(D100),D100&lt;'Baca Dulu'!$B$13),"Positif","Negatif"))</f>
        <v>Negatif</v>
      </c>
      <c r="J100" s="19" t="str">
        <f aca="false">IF(L100="Tidak","Invalid",IF(AND(ISNUMBER(E100),E100&lt;'Baca Dulu'!$B$13),"Positif","Negatif"))</f>
        <v>Negatif</v>
      </c>
      <c r="K100" s="19" t="str">
        <f aca="false">IF(L100="Tidak","Invalid",IF(OR(AND(ISNUMBER(F100),F100&lt;'Baca Dulu'!$B$13),AND(ISNUMBER(G100),G100&lt;'Baca Dulu'!$B$13)),"Positif","Negatif"))</f>
        <v>Negatif</v>
      </c>
      <c r="L100" s="19" t="str">
        <f aca="false">IF(AND(ISNUMBER(H100),H100&lt;='Baca Dulu'!$B$14),"Ya","Tidak")</f>
        <v>Ya</v>
      </c>
      <c r="M100" s="19" t="str">
        <f aca="false">IF(L100="Tidak","Invalid",IF(OR(I100="Positif",J100="Positif"),"Positif 16/18",IF(K100="Positif","Positif lain","Negatif")))</f>
        <v>Negatif</v>
      </c>
      <c r="N100" s="24" t="str">
        <f aca="false">IF(AND(L100="Ya",COUNT(D100:G100)&gt;0),MIN(D100:G100)-H100,"")</f>
        <v/>
      </c>
      <c r="O100" s="25" t="n">
        <f aca="false">INDEX('3 Mock CerviScan'!$H$3:$H$302,MATCH(B100,'3 Mock CerviScan'!$B$3:$B$302,0))</f>
        <v>46311</v>
      </c>
      <c r="P100" s="19" t="s">
        <v>770</v>
      </c>
    </row>
    <row r="101" customFormat="false" ht="15" hidden="false" customHeight="true" outlineLevel="0" collapsed="false">
      <c r="A101" s="26" t="s">
        <v>769</v>
      </c>
      <c r="B101" s="19" t="s">
        <v>563</v>
      </c>
      <c r="C101" s="19" t="str">
        <f aca="false">INDEX('3 Mock CerviScan'!$F$3:$F$302,MATCH(B101,'3 Mock CerviScan'!$B$3:$B$302,0))</f>
        <v>P-0099</v>
      </c>
      <c r="D101" s="19" t="str">
        <f aca="false">IFERROR(AVERAGEIFS('3 Mock CerviScan'!$E$3:$E$302,'3 Mock CerviScan'!$B$3:$B$302,$B101,'3 Mock CerviScan'!$C$3:$C$302,"HPV16"),"")</f>
        <v/>
      </c>
      <c r="E101" s="19" t="str">
        <f aca="false">IFERROR(AVERAGEIFS('3 Mock CerviScan'!$E$3:$E$302,'3 Mock CerviScan'!$B$3:$B$302,$B101,'3 Mock CerviScan'!$C$3:$C$302,"HPV18"),"")</f>
        <v/>
      </c>
      <c r="F101" s="19" t="str">
        <f aca="false">IFERROR(AVERAGEIFS('3 Mock CerviScan'!$E$3:$E$302,'3 Mock CerviScan'!$B$3:$B$302,$B101,'3 Mock CerviScan'!$C$3:$C$302,"HPV52"),"")</f>
        <v/>
      </c>
      <c r="G101" s="19" t="str">
        <f aca="false">IFERROR(AVERAGEIFS('3 Mock CerviScan'!$E$3:$E$302,'3 Mock CerviScan'!$B$3:$B$302,$B101,'3 Mock CerviScan'!$C$3:$C$302,"HR lain (11 tipe)"),"")</f>
        <v/>
      </c>
      <c r="H101" s="19" t="n">
        <f aca="false">IFERROR(AVERAGEIFS('3 Mock CerviScan'!$E$3:$E$302,'3 Mock CerviScan'!$B$3:$B$302,$B101,'3 Mock CerviScan'!$C$3:$C$302,"Beta-globin (IC)"),"")</f>
        <v>24.4</v>
      </c>
      <c r="I101" s="19" t="str">
        <f aca="false">IF(L101="Tidak","Invalid",IF(AND(ISNUMBER(D101),D101&lt;'Baca Dulu'!$B$13),"Positif","Negatif"))</f>
        <v>Negatif</v>
      </c>
      <c r="J101" s="19" t="str">
        <f aca="false">IF(L101="Tidak","Invalid",IF(AND(ISNUMBER(E101),E101&lt;'Baca Dulu'!$B$13),"Positif","Negatif"))</f>
        <v>Negatif</v>
      </c>
      <c r="K101" s="19" t="str">
        <f aca="false">IF(L101="Tidak","Invalid",IF(OR(AND(ISNUMBER(F101),F101&lt;'Baca Dulu'!$B$13),AND(ISNUMBER(G101),G101&lt;'Baca Dulu'!$B$13)),"Positif","Negatif"))</f>
        <v>Negatif</v>
      </c>
      <c r="L101" s="19" t="str">
        <f aca="false">IF(AND(ISNUMBER(H101),H101&lt;='Baca Dulu'!$B$14),"Ya","Tidak")</f>
        <v>Ya</v>
      </c>
      <c r="M101" s="19" t="str">
        <f aca="false">IF(L101="Tidak","Invalid",IF(OR(I101="Positif",J101="Positif"),"Positif 16/18",IF(K101="Positif","Positif lain","Negatif")))</f>
        <v>Negatif</v>
      </c>
      <c r="N101" s="24" t="str">
        <f aca="false">IF(AND(L101="Ya",COUNT(D101:G101)&gt;0),MIN(D101:G101)-H101,"")</f>
        <v/>
      </c>
      <c r="O101" s="25" t="n">
        <f aca="false">INDEX('3 Mock CerviScan'!$H$3:$H$302,MATCH(B101,'3 Mock CerviScan'!$B$3:$B$302,0))</f>
        <v>46311</v>
      </c>
      <c r="P101" s="19" t="s">
        <v>770</v>
      </c>
    </row>
    <row r="102" customFormat="false" ht="15" hidden="false" customHeight="true" outlineLevel="0" collapsed="false">
      <c r="A102" s="26" t="s">
        <v>769</v>
      </c>
      <c r="B102" s="19" t="s">
        <v>566</v>
      </c>
      <c r="C102" s="19" t="str">
        <f aca="false">INDEX('3 Mock CerviScan'!$F$3:$F$302,MATCH(B102,'3 Mock CerviScan'!$B$3:$B$302,0))</f>
        <v>P-0100</v>
      </c>
      <c r="D102" s="19" t="str">
        <f aca="false">IFERROR(AVERAGEIFS('3 Mock CerviScan'!$E$3:$E$302,'3 Mock CerviScan'!$B$3:$B$302,$B102,'3 Mock CerviScan'!$C$3:$C$302,"HPV16"),"")</f>
        <v/>
      </c>
      <c r="E102" s="19" t="str">
        <f aca="false">IFERROR(AVERAGEIFS('3 Mock CerviScan'!$E$3:$E$302,'3 Mock CerviScan'!$B$3:$B$302,$B102,'3 Mock CerviScan'!$C$3:$C$302,"HPV18"),"")</f>
        <v/>
      </c>
      <c r="F102" s="19" t="str">
        <f aca="false">IFERROR(AVERAGEIFS('3 Mock CerviScan'!$E$3:$E$302,'3 Mock CerviScan'!$B$3:$B$302,$B102,'3 Mock CerviScan'!$C$3:$C$302,"HPV52"),"")</f>
        <v/>
      </c>
      <c r="G102" s="19" t="str">
        <f aca="false">IFERROR(AVERAGEIFS('3 Mock CerviScan'!$E$3:$E$302,'3 Mock CerviScan'!$B$3:$B$302,$B102,'3 Mock CerviScan'!$C$3:$C$302,"HR lain (11 tipe)"),"")</f>
        <v/>
      </c>
      <c r="H102" s="19" t="n">
        <f aca="false">IFERROR(AVERAGEIFS('3 Mock CerviScan'!$E$3:$E$302,'3 Mock CerviScan'!$B$3:$B$302,$B102,'3 Mock CerviScan'!$C$3:$C$302,"Beta-globin (IC)"),"")</f>
        <v>25.6</v>
      </c>
      <c r="I102" s="19" t="str">
        <f aca="false">IF(L102="Tidak","Invalid",IF(AND(ISNUMBER(D102),D102&lt;'Baca Dulu'!$B$13),"Positif","Negatif"))</f>
        <v>Negatif</v>
      </c>
      <c r="J102" s="19" t="str">
        <f aca="false">IF(L102="Tidak","Invalid",IF(AND(ISNUMBER(E102),E102&lt;'Baca Dulu'!$B$13),"Positif","Negatif"))</f>
        <v>Negatif</v>
      </c>
      <c r="K102" s="19" t="str">
        <f aca="false">IF(L102="Tidak","Invalid",IF(OR(AND(ISNUMBER(F102),F102&lt;'Baca Dulu'!$B$13),AND(ISNUMBER(G102),G102&lt;'Baca Dulu'!$B$13)),"Positif","Negatif"))</f>
        <v>Negatif</v>
      </c>
      <c r="L102" s="19" t="str">
        <f aca="false">IF(AND(ISNUMBER(H102),H102&lt;='Baca Dulu'!$B$14),"Ya","Tidak")</f>
        <v>Ya</v>
      </c>
      <c r="M102" s="19" t="str">
        <f aca="false">IF(L102="Tidak","Invalid",IF(OR(I102="Positif",J102="Positif"),"Positif 16/18",IF(K102="Positif","Positif lain","Negatif")))</f>
        <v>Negatif</v>
      </c>
      <c r="N102" s="24" t="str">
        <f aca="false">IF(AND(L102="Ya",COUNT(D102:G102)&gt;0),MIN(D102:G102)-H102,"")</f>
        <v/>
      </c>
      <c r="O102" s="25" t="n">
        <f aca="false">INDEX('3 Mock CerviScan'!$H$3:$H$302,MATCH(B102,'3 Mock CerviScan'!$B$3:$B$302,0))</f>
        <v>46314</v>
      </c>
      <c r="P102" s="19" t="s">
        <v>770</v>
      </c>
    </row>
    <row r="103" customFormat="false" ht="15" hidden="false" customHeight="true" outlineLevel="0" collapsed="false">
      <c r="A103" s="26" t="s">
        <v>769</v>
      </c>
      <c r="B103" s="19" t="s">
        <v>569</v>
      </c>
      <c r="C103" s="19" t="str">
        <f aca="false">INDEX('3 Mock CerviScan'!$F$3:$F$302,MATCH(B103,'3 Mock CerviScan'!$B$3:$B$302,0))</f>
        <v>P-0101</v>
      </c>
      <c r="D103" s="19" t="str">
        <f aca="false">IFERROR(AVERAGEIFS('3 Mock CerviScan'!$E$3:$E$302,'3 Mock CerviScan'!$B$3:$B$302,$B103,'3 Mock CerviScan'!$C$3:$C$302,"HPV16"),"")</f>
        <v/>
      </c>
      <c r="E103" s="19" t="str">
        <f aca="false">IFERROR(AVERAGEIFS('3 Mock CerviScan'!$E$3:$E$302,'3 Mock CerviScan'!$B$3:$B$302,$B103,'3 Mock CerviScan'!$C$3:$C$302,"HPV18"),"")</f>
        <v/>
      </c>
      <c r="F103" s="19" t="str">
        <f aca="false">IFERROR(AVERAGEIFS('3 Mock CerviScan'!$E$3:$E$302,'3 Mock CerviScan'!$B$3:$B$302,$B103,'3 Mock CerviScan'!$C$3:$C$302,"HPV52"),"")</f>
        <v/>
      </c>
      <c r="G103" s="19" t="str">
        <f aca="false">IFERROR(AVERAGEIFS('3 Mock CerviScan'!$E$3:$E$302,'3 Mock CerviScan'!$B$3:$B$302,$B103,'3 Mock CerviScan'!$C$3:$C$302,"HR lain (11 tipe)"),"")</f>
        <v/>
      </c>
      <c r="H103" s="19" t="n">
        <f aca="false">IFERROR(AVERAGEIFS('3 Mock CerviScan'!$E$3:$E$302,'3 Mock CerviScan'!$B$3:$B$302,$B103,'3 Mock CerviScan'!$C$3:$C$302,"Beta-globin (IC)"),"")</f>
        <v>29.5</v>
      </c>
      <c r="I103" s="19" t="str">
        <f aca="false">IF(L103="Tidak","Invalid",IF(AND(ISNUMBER(D103),D103&lt;'Baca Dulu'!$B$13),"Positif","Negatif"))</f>
        <v>Negatif</v>
      </c>
      <c r="J103" s="19" t="str">
        <f aca="false">IF(L103="Tidak","Invalid",IF(AND(ISNUMBER(E103),E103&lt;'Baca Dulu'!$B$13),"Positif","Negatif"))</f>
        <v>Negatif</v>
      </c>
      <c r="K103" s="19" t="str">
        <f aca="false">IF(L103="Tidak","Invalid",IF(OR(AND(ISNUMBER(F103),F103&lt;'Baca Dulu'!$B$13),AND(ISNUMBER(G103),G103&lt;'Baca Dulu'!$B$13)),"Positif","Negatif"))</f>
        <v>Negatif</v>
      </c>
      <c r="L103" s="19" t="str">
        <f aca="false">IF(AND(ISNUMBER(H103),H103&lt;='Baca Dulu'!$B$14),"Ya","Tidak")</f>
        <v>Ya</v>
      </c>
      <c r="M103" s="19" t="str">
        <f aca="false">IF(L103="Tidak","Invalid",IF(OR(I103="Positif",J103="Positif"),"Positif 16/18",IF(K103="Positif","Positif lain","Negatif")))</f>
        <v>Negatif</v>
      </c>
      <c r="N103" s="24" t="str">
        <f aca="false">IF(AND(L103="Ya",COUNT(D103:G103)&gt;0),MIN(D103:G103)-H103,"")</f>
        <v/>
      </c>
      <c r="O103" s="25" t="n">
        <f aca="false">INDEX('3 Mock CerviScan'!$H$3:$H$302,MATCH(B103,'3 Mock CerviScan'!$B$3:$B$302,0))</f>
        <v>46309</v>
      </c>
      <c r="P103" s="19" t="s">
        <v>770</v>
      </c>
    </row>
    <row r="104" customFormat="false" ht="15" hidden="false" customHeight="true" outlineLevel="0" collapsed="false">
      <c r="A104" s="26" t="s">
        <v>769</v>
      </c>
      <c r="B104" s="19" t="s">
        <v>572</v>
      </c>
      <c r="C104" s="19" t="str">
        <f aca="false">INDEX('3 Mock CerviScan'!$F$3:$F$302,MATCH(B104,'3 Mock CerviScan'!$B$3:$B$302,0))</f>
        <v>P-0102</v>
      </c>
      <c r="D104" s="19" t="str">
        <f aca="false">IFERROR(AVERAGEIFS('3 Mock CerviScan'!$E$3:$E$302,'3 Mock CerviScan'!$B$3:$B$302,$B104,'3 Mock CerviScan'!$C$3:$C$302,"HPV16"),"")</f>
        <v/>
      </c>
      <c r="E104" s="19" t="str">
        <f aca="false">IFERROR(AVERAGEIFS('3 Mock CerviScan'!$E$3:$E$302,'3 Mock CerviScan'!$B$3:$B$302,$B104,'3 Mock CerviScan'!$C$3:$C$302,"HPV18"),"")</f>
        <v/>
      </c>
      <c r="F104" s="19" t="str">
        <f aca="false">IFERROR(AVERAGEIFS('3 Mock CerviScan'!$E$3:$E$302,'3 Mock CerviScan'!$B$3:$B$302,$B104,'3 Mock CerviScan'!$C$3:$C$302,"HPV52"),"")</f>
        <v/>
      </c>
      <c r="G104" s="19" t="str">
        <f aca="false">IFERROR(AVERAGEIFS('3 Mock CerviScan'!$E$3:$E$302,'3 Mock CerviScan'!$B$3:$B$302,$B104,'3 Mock CerviScan'!$C$3:$C$302,"HR lain (11 tipe)"),"")</f>
        <v/>
      </c>
      <c r="H104" s="19" t="n">
        <f aca="false">IFERROR(AVERAGEIFS('3 Mock CerviScan'!$E$3:$E$302,'3 Mock CerviScan'!$B$3:$B$302,$B104,'3 Mock CerviScan'!$C$3:$C$302,"Beta-globin (IC)"),"")</f>
        <v>28.5</v>
      </c>
      <c r="I104" s="19" t="str">
        <f aca="false">IF(L104="Tidak","Invalid",IF(AND(ISNUMBER(D104),D104&lt;'Baca Dulu'!$B$13),"Positif","Negatif"))</f>
        <v>Negatif</v>
      </c>
      <c r="J104" s="19" t="str">
        <f aca="false">IF(L104="Tidak","Invalid",IF(AND(ISNUMBER(E104),E104&lt;'Baca Dulu'!$B$13),"Positif","Negatif"))</f>
        <v>Negatif</v>
      </c>
      <c r="K104" s="19" t="str">
        <f aca="false">IF(L104="Tidak","Invalid",IF(OR(AND(ISNUMBER(F104),F104&lt;'Baca Dulu'!$B$13),AND(ISNUMBER(G104),G104&lt;'Baca Dulu'!$B$13)),"Positif","Negatif"))</f>
        <v>Negatif</v>
      </c>
      <c r="L104" s="19" t="str">
        <f aca="false">IF(AND(ISNUMBER(H104),H104&lt;='Baca Dulu'!$B$14),"Ya","Tidak")</f>
        <v>Ya</v>
      </c>
      <c r="M104" s="19" t="str">
        <f aca="false">IF(L104="Tidak","Invalid",IF(OR(I104="Positif",J104="Positif"),"Positif 16/18",IF(K104="Positif","Positif lain","Negatif")))</f>
        <v>Negatif</v>
      </c>
      <c r="N104" s="24" t="str">
        <f aca="false">IF(AND(L104="Ya",COUNT(D104:G104)&gt;0),MIN(D104:G104)-H104,"")</f>
        <v/>
      </c>
      <c r="O104" s="25" t="n">
        <f aca="false">INDEX('3 Mock CerviScan'!$H$3:$H$302,MATCH(B104,'3 Mock CerviScan'!$B$3:$B$302,0))</f>
        <v>46311</v>
      </c>
      <c r="P104" s="19" t="s">
        <v>770</v>
      </c>
    </row>
    <row r="105" customFormat="false" ht="15" hidden="false" customHeight="true" outlineLevel="0" collapsed="false">
      <c r="A105" s="26" t="s">
        <v>769</v>
      </c>
      <c r="B105" s="19" t="s">
        <v>575</v>
      </c>
      <c r="C105" s="19" t="str">
        <f aca="false">INDEX('3 Mock CerviScan'!$F$3:$F$302,MATCH(B105,'3 Mock CerviScan'!$B$3:$B$302,0))</f>
        <v>P-0103</v>
      </c>
      <c r="D105" s="19" t="str">
        <f aca="false">IFERROR(AVERAGEIFS('3 Mock CerviScan'!$E$3:$E$302,'3 Mock CerviScan'!$B$3:$B$302,$B105,'3 Mock CerviScan'!$C$3:$C$302,"HPV16"),"")</f>
        <v/>
      </c>
      <c r="E105" s="19" t="str">
        <f aca="false">IFERROR(AVERAGEIFS('3 Mock CerviScan'!$E$3:$E$302,'3 Mock CerviScan'!$B$3:$B$302,$B105,'3 Mock CerviScan'!$C$3:$C$302,"HPV18"),"")</f>
        <v/>
      </c>
      <c r="F105" s="19" t="str">
        <f aca="false">IFERROR(AVERAGEIFS('3 Mock CerviScan'!$E$3:$E$302,'3 Mock CerviScan'!$B$3:$B$302,$B105,'3 Mock CerviScan'!$C$3:$C$302,"HPV52"),"")</f>
        <v/>
      </c>
      <c r="G105" s="19" t="str">
        <f aca="false">IFERROR(AVERAGEIFS('3 Mock CerviScan'!$E$3:$E$302,'3 Mock CerviScan'!$B$3:$B$302,$B105,'3 Mock CerviScan'!$C$3:$C$302,"HR lain (11 tipe)"),"")</f>
        <v/>
      </c>
      <c r="H105" s="19" t="n">
        <f aca="false">IFERROR(AVERAGEIFS('3 Mock CerviScan'!$E$3:$E$302,'3 Mock CerviScan'!$B$3:$B$302,$B105,'3 Mock CerviScan'!$C$3:$C$302,"Beta-globin (IC)"),"")</f>
        <v>23.4</v>
      </c>
      <c r="I105" s="19" t="str">
        <f aca="false">IF(L105="Tidak","Invalid",IF(AND(ISNUMBER(D105),D105&lt;'Baca Dulu'!$B$13),"Positif","Negatif"))</f>
        <v>Negatif</v>
      </c>
      <c r="J105" s="19" t="str">
        <f aca="false">IF(L105="Tidak","Invalid",IF(AND(ISNUMBER(E105),E105&lt;'Baca Dulu'!$B$13),"Positif","Negatif"))</f>
        <v>Negatif</v>
      </c>
      <c r="K105" s="19" t="str">
        <f aca="false">IF(L105="Tidak","Invalid",IF(OR(AND(ISNUMBER(F105),F105&lt;'Baca Dulu'!$B$13),AND(ISNUMBER(G105),G105&lt;'Baca Dulu'!$B$13)),"Positif","Negatif"))</f>
        <v>Negatif</v>
      </c>
      <c r="L105" s="19" t="str">
        <f aca="false">IF(AND(ISNUMBER(H105),H105&lt;='Baca Dulu'!$B$14),"Ya","Tidak")</f>
        <v>Ya</v>
      </c>
      <c r="M105" s="19" t="str">
        <f aca="false">IF(L105="Tidak","Invalid",IF(OR(I105="Positif",J105="Positif"),"Positif 16/18",IF(K105="Positif","Positif lain","Negatif")))</f>
        <v>Negatif</v>
      </c>
      <c r="N105" s="24" t="str">
        <f aca="false">IF(AND(L105="Ya",COUNT(D105:G105)&gt;0),MIN(D105:G105)-H105,"")</f>
        <v/>
      </c>
      <c r="O105" s="25" t="n">
        <f aca="false">INDEX('3 Mock CerviScan'!$H$3:$H$302,MATCH(B105,'3 Mock CerviScan'!$B$3:$B$302,0))</f>
        <v>46310</v>
      </c>
      <c r="P105" s="19" t="s">
        <v>770</v>
      </c>
    </row>
    <row r="106" customFormat="false" ht="15" hidden="false" customHeight="true" outlineLevel="0" collapsed="false">
      <c r="A106" s="26" t="s">
        <v>769</v>
      </c>
      <c r="B106" s="19" t="s">
        <v>578</v>
      </c>
      <c r="C106" s="19" t="str">
        <f aca="false">INDEX('3 Mock CerviScan'!$F$3:$F$302,MATCH(B106,'3 Mock CerviScan'!$B$3:$B$302,0))</f>
        <v>P-0104</v>
      </c>
      <c r="D106" s="19" t="str">
        <f aca="false">IFERROR(AVERAGEIFS('3 Mock CerviScan'!$E$3:$E$302,'3 Mock CerviScan'!$B$3:$B$302,$B106,'3 Mock CerviScan'!$C$3:$C$302,"HPV16"),"")</f>
        <v/>
      </c>
      <c r="E106" s="19" t="str">
        <f aca="false">IFERROR(AVERAGEIFS('3 Mock CerviScan'!$E$3:$E$302,'3 Mock CerviScan'!$B$3:$B$302,$B106,'3 Mock CerviScan'!$C$3:$C$302,"HPV18"),"")</f>
        <v/>
      </c>
      <c r="F106" s="19" t="str">
        <f aca="false">IFERROR(AVERAGEIFS('3 Mock CerviScan'!$E$3:$E$302,'3 Mock CerviScan'!$B$3:$B$302,$B106,'3 Mock CerviScan'!$C$3:$C$302,"HPV52"),"")</f>
        <v/>
      </c>
      <c r="G106" s="19" t="str">
        <f aca="false">IFERROR(AVERAGEIFS('3 Mock CerviScan'!$E$3:$E$302,'3 Mock CerviScan'!$B$3:$B$302,$B106,'3 Mock CerviScan'!$C$3:$C$302,"HR lain (11 tipe)"),"")</f>
        <v/>
      </c>
      <c r="H106" s="19" t="n">
        <f aca="false">IFERROR(AVERAGEIFS('3 Mock CerviScan'!$E$3:$E$302,'3 Mock CerviScan'!$B$3:$B$302,$B106,'3 Mock CerviScan'!$C$3:$C$302,"Beta-globin (IC)"),"")</f>
        <v>25.4</v>
      </c>
      <c r="I106" s="19" t="str">
        <f aca="false">IF(L106="Tidak","Invalid",IF(AND(ISNUMBER(D106),D106&lt;'Baca Dulu'!$B$13),"Positif","Negatif"))</f>
        <v>Negatif</v>
      </c>
      <c r="J106" s="19" t="str">
        <f aca="false">IF(L106="Tidak","Invalid",IF(AND(ISNUMBER(E106),E106&lt;'Baca Dulu'!$B$13),"Positif","Negatif"))</f>
        <v>Negatif</v>
      </c>
      <c r="K106" s="19" t="str">
        <f aca="false">IF(L106="Tidak","Invalid",IF(OR(AND(ISNUMBER(F106),F106&lt;'Baca Dulu'!$B$13),AND(ISNUMBER(G106),G106&lt;'Baca Dulu'!$B$13)),"Positif","Negatif"))</f>
        <v>Negatif</v>
      </c>
      <c r="L106" s="19" t="str">
        <f aca="false">IF(AND(ISNUMBER(H106),H106&lt;='Baca Dulu'!$B$14),"Ya","Tidak")</f>
        <v>Ya</v>
      </c>
      <c r="M106" s="19" t="str">
        <f aca="false">IF(L106="Tidak","Invalid",IF(OR(I106="Positif",J106="Positif"),"Positif 16/18",IF(K106="Positif","Positif lain","Negatif")))</f>
        <v>Negatif</v>
      </c>
      <c r="N106" s="24" t="str">
        <f aca="false">IF(AND(L106="Ya",COUNT(D106:G106)&gt;0),MIN(D106:G106)-H106,"")</f>
        <v/>
      </c>
      <c r="O106" s="25" t="n">
        <f aca="false">INDEX('3 Mock CerviScan'!$H$3:$H$302,MATCH(B106,'3 Mock CerviScan'!$B$3:$B$302,0))</f>
        <v>46314</v>
      </c>
      <c r="P106" s="19" t="s">
        <v>770</v>
      </c>
    </row>
    <row r="107" customFormat="false" ht="15" hidden="false" customHeight="true" outlineLevel="0" collapsed="false">
      <c r="A107" s="26" t="s">
        <v>769</v>
      </c>
      <c r="B107" s="19" t="s">
        <v>581</v>
      </c>
      <c r="C107" s="19" t="str">
        <f aca="false">INDEX('3 Mock CerviScan'!$F$3:$F$302,MATCH(B107,'3 Mock CerviScan'!$B$3:$B$302,0))</f>
        <v>P-0105</v>
      </c>
      <c r="D107" s="19" t="str">
        <f aca="false">IFERROR(AVERAGEIFS('3 Mock CerviScan'!$E$3:$E$302,'3 Mock CerviScan'!$B$3:$B$302,$B107,'3 Mock CerviScan'!$C$3:$C$302,"HPV16"),"")</f>
        <v/>
      </c>
      <c r="E107" s="19" t="str">
        <f aca="false">IFERROR(AVERAGEIFS('3 Mock CerviScan'!$E$3:$E$302,'3 Mock CerviScan'!$B$3:$B$302,$B107,'3 Mock CerviScan'!$C$3:$C$302,"HPV18"),"")</f>
        <v/>
      </c>
      <c r="F107" s="19" t="str">
        <f aca="false">IFERROR(AVERAGEIFS('3 Mock CerviScan'!$E$3:$E$302,'3 Mock CerviScan'!$B$3:$B$302,$B107,'3 Mock CerviScan'!$C$3:$C$302,"HPV52"),"")</f>
        <v/>
      </c>
      <c r="G107" s="19" t="str">
        <f aca="false">IFERROR(AVERAGEIFS('3 Mock CerviScan'!$E$3:$E$302,'3 Mock CerviScan'!$B$3:$B$302,$B107,'3 Mock CerviScan'!$C$3:$C$302,"HR lain (11 tipe)"),"")</f>
        <v/>
      </c>
      <c r="H107" s="19" t="str">
        <f aca="false">IFERROR(AVERAGEIFS('3 Mock CerviScan'!$E$3:$E$302,'3 Mock CerviScan'!$B$3:$B$302,$B107,'3 Mock CerviScan'!$C$3:$C$302,"Beta-globin (IC)"),"")</f>
        <v/>
      </c>
      <c r="I107" s="19" t="str">
        <f aca="false">IF(L107="Tidak","Invalid",IF(AND(ISNUMBER(D107),D107&lt;'Baca Dulu'!$B$13),"Positif","Negatif"))</f>
        <v>Invalid</v>
      </c>
      <c r="J107" s="19" t="str">
        <f aca="false">IF(L107="Tidak","Invalid",IF(AND(ISNUMBER(E107),E107&lt;'Baca Dulu'!$B$13),"Positif","Negatif"))</f>
        <v>Invalid</v>
      </c>
      <c r="K107" s="19" t="str">
        <f aca="false">IF(L107="Tidak","Invalid",IF(OR(AND(ISNUMBER(F107),F107&lt;'Baca Dulu'!$B$13),AND(ISNUMBER(G107),G107&lt;'Baca Dulu'!$B$13)),"Positif","Negatif"))</f>
        <v>Invalid</v>
      </c>
      <c r="L107" s="19" t="str">
        <f aca="false">IF(AND(ISNUMBER(H107),H107&lt;='Baca Dulu'!$B$14),"Ya","Tidak")</f>
        <v>Tidak</v>
      </c>
      <c r="M107" s="19" t="str">
        <f aca="false">IF(L107="Tidak","Invalid",IF(OR(I107="Positif",J107="Positif"),"Positif 16/18",IF(K107="Positif","Positif lain","Negatif")))</f>
        <v>Invalid</v>
      </c>
      <c r="N107" s="24" t="str">
        <f aca="false">IF(AND(L107="Ya",COUNT(D107:G107)&gt;0),MIN(D107:G107)-H107,"")</f>
        <v/>
      </c>
      <c r="O107" s="25" t="n">
        <f aca="false">INDEX('3 Mock CerviScan'!$H$3:$H$302,MATCH(B107,'3 Mock CerviScan'!$B$3:$B$302,0))</f>
        <v>46308</v>
      </c>
      <c r="P107" s="19" t="s">
        <v>770</v>
      </c>
    </row>
    <row r="108" customFormat="false" ht="15" hidden="false" customHeight="true" outlineLevel="0" collapsed="false">
      <c r="A108" s="26" t="s">
        <v>769</v>
      </c>
      <c r="B108" s="19" t="s">
        <v>584</v>
      </c>
      <c r="C108" s="19" t="str">
        <f aca="false">INDEX('3 Mock CerviScan'!$F$3:$F$302,MATCH(B108,'3 Mock CerviScan'!$B$3:$B$302,0))</f>
        <v>P-0106</v>
      </c>
      <c r="D108" s="19" t="str">
        <f aca="false">IFERROR(AVERAGEIFS('3 Mock CerviScan'!$E$3:$E$302,'3 Mock CerviScan'!$B$3:$B$302,$B108,'3 Mock CerviScan'!$C$3:$C$302,"HPV16"),"")</f>
        <v/>
      </c>
      <c r="E108" s="19" t="str">
        <f aca="false">IFERROR(AVERAGEIFS('3 Mock CerviScan'!$E$3:$E$302,'3 Mock CerviScan'!$B$3:$B$302,$B108,'3 Mock CerviScan'!$C$3:$C$302,"HPV18"),"")</f>
        <v/>
      </c>
      <c r="F108" s="19" t="str">
        <f aca="false">IFERROR(AVERAGEIFS('3 Mock CerviScan'!$E$3:$E$302,'3 Mock CerviScan'!$B$3:$B$302,$B108,'3 Mock CerviScan'!$C$3:$C$302,"HPV52"),"")</f>
        <v/>
      </c>
      <c r="G108" s="19" t="n">
        <f aca="false">IFERROR(AVERAGEIFS('3 Mock CerviScan'!$E$3:$E$302,'3 Mock CerviScan'!$B$3:$B$302,$B108,'3 Mock CerviScan'!$C$3:$C$302,"HR lain (11 tipe)"),"")</f>
        <v>21</v>
      </c>
      <c r="H108" s="19" t="n">
        <f aca="false">IFERROR(AVERAGEIFS('3 Mock CerviScan'!$E$3:$E$302,'3 Mock CerviScan'!$B$3:$B$302,$B108,'3 Mock CerviScan'!$C$3:$C$302,"Beta-globin (IC)"),"")</f>
        <v>22.3</v>
      </c>
      <c r="I108" s="19" t="str">
        <f aca="false">IF(L108="Tidak","Invalid",IF(AND(ISNUMBER(D108),D108&lt;'Baca Dulu'!$B$13),"Positif","Negatif"))</f>
        <v>Negatif</v>
      </c>
      <c r="J108" s="19" t="str">
        <f aca="false">IF(L108="Tidak","Invalid",IF(AND(ISNUMBER(E108),E108&lt;'Baca Dulu'!$B$13),"Positif","Negatif"))</f>
        <v>Negatif</v>
      </c>
      <c r="K108" s="19" t="str">
        <f aca="false">IF(L108="Tidak","Invalid",IF(OR(AND(ISNUMBER(F108),F108&lt;'Baca Dulu'!$B$13),AND(ISNUMBER(G108),G108&lt;'Baca Dulu'!$B$13)),"Positif","Negatif"))</f>
        <v>Positif</v>
      </c>
      <c r="L108" s="19" t="str">
        <f aca="false">IF(AND(ISNUMBER(H108),H108&lt;='Baca Dulu'!$B$14),"Ya","Tidak")</f>
        <v>Ya</v>
      </c>
      <c r="M108" s="19" t="str">
        <f aca="false">IF(L108="Tidak","Invalid",IF(OR(I108="Positif",J108="Positif"),"Positif 16/18",IF(K108="Positif","Positif lain","Negatif")))</f>
        <v>Positif lain</v>
      </c>
      <c r="N108" s="24" t="n">
        <f aca="false">IF(AND(L108="Ya",COUNT(D108:G108)&gt;0),MIN(D108:G108)-H108,"")</f>
        <v>-1.3</v>
      </c>
      <c r="O108" s="25" t="n">
        <f aca="false">INDEX('3 Mock CerviScan'!$H$3:$H$302,MATCH(B108,'3 Mock CerviScan'!$B$3:$B$302,0))</f>
        <v>46308</v>
      </c>
      <c r="P108" s="19" t="s">
        <v>770</v>
      </c>
    </row>
    <row r="109" customFormat="false" ht="15" hidden="false" customHeight="true" outlineLevel="0" collapsed="false">
      <c r="A109" s="26" t="s">
        <v>769</v>
      </c>
      <c r="B109" s="19" t="s">
        <v>587</v>
      </c>
      <c r="C109" s="19" t="str">
        <f aca="false">INDEX('3 Mock CerviScan'!$F$3:$F$302,MATCH(B109,'3 Mock CerviScan'!$B$3:$B$302,0))</f>
        <v>P-0107</v>
      </c>
      <c r="D109" s="19" t="str">
        <f aca="false">IFERROR(AVERAGEIFS('3 Mock CerviScan'!$E$3:$E$302,'3 Mock CerviScan'!$B$3:$B$302,$B109,'3 Mock CerviScan'!$C$3:$C$302,"HPV16"),"")</f>
        <v/>
      </c>
      <c r="E109" s="19" t="str">
        <f aca="false">IFERROR(AVERAGEIFS('3 Mock CerviScan'!$E$3:$E$302,'3 Mock CerviScan'!$B$3:$B$302,$B109,'3 Mock CerviScan'!$C$3:$C$302,"HPV18"),"")</f>
        <v/>
      </c>
      <c r="F109" s="19" t="str">
        <f aca="false">IFERROR(AVERAGEIFS('3 Mock CerviScan'!$E$3:$E$302,'3 Mock CerviScan'!$B$3:$B$302,$B109,'3 Mock CerviScan'!$C$3:$C$302,"HPV52"),"")</f>
        <v/>
      </c>
      <c r="G109" s="19" t="str">
        <f aca="false">IFERROR(AVERAGEIFS('3 Mock CerviScan'!$E$3:$E$302,'3 Mock CerviScan'!$B$3:$B$302,$B109,'3 Mock CerviScan'!$C$3:$C$302,"HR lain (11 tipe)"),"")</f>
        <v/>
      </c>
      <c r="H109" s="19" t="n">
        <f aca="false">IFERROR(AVERAGEIFS('3 Mock CerviScan'!$E$3:$E$302,'3 Mock CerviScan'!$B$3:$B$302,$B109,'3 Mock CerviScan'!$C$3:$C$302,"Beta-globin (IC)"),"")</f>
        <v>26.2</v>
      </c>
      <c r="I109" s="19" t="str">
        <f aca="false">IF(L109="Tidak","Invalid",IF(AND(ISNUMBER(D109),D109&lt;'Baca Dulu'!$B$13),"Positif","Negatif"))</f>
        <v>Negatif</v>
      </c>
      <c r="J109" s="19" t="str">
        <f aca="false">IF(L109="Tidak","Invalid",IF(AND(ISNUMBER(E109),E109&lt;'Baca Dulu'!$B$13),"Positif","Negatif"))</f>
        <v>Negatif</v>
      </c>
      <c r="K109" s="19" t="str">
        <f aca="false">IF(L109="Tidak","Invalid",IF(OR(AND(ISNUMBER(F109),F109&lt;'Baca Dulu'!$B$13),AND(ISNUMBER(G109),G109&lt;'Baca Dulu'!$B$13)),"Positif","Negatif"))</f>
        <v>Negatif</v>
      </c>
      <c r="L109" s="19" t="str">
        <f aca="false">IF(AND(ISNUMBER(H109),H109&lt;='Baca Dulu'!$B$14),"Ya","Tidak")</f>
        <v>Ya</v>
      </c>
      <c r="M109" s="19" t="str">
        <f aca="false">IF(L109="Tidak","Invalid",IF(OR(I109="Positif",J109="Positif"),"Positif 16/18",IF(K109="Positif","Positif lain","Negatif")))</f>
        <v>Negatif</v>
      </c>
      <c r="N109" s="24" t="str">
        <f aca="false">IF(AND(L109="Ya",COUNT(D109:G109)&gt;0),MIN(D109:G109)-H109,"")</f>
        <v/>
      </c>
      <c r="O109" s="25" t="n">
        <f aca="false">INDEX('3 Mock CerviScan'!$H$3:$H$302,MATCH(B109,'3 Mock CerviScan'!$B$3:$B$302,0))</f>
        <v>46307</v>
      </c>
      <c r="P109" s="19" t="s">
        <v>770</v>
      </c>
    </row>
    <row r="110" customFormat="false" ht="15" hidden="false" customHeight="true" outlineLevel="0" collapsed="false">
      <c r="A110" s="26" t="s">
        <v>769</v>
      </c>
      <c r="B110" s="19" t="s">
        <v>590</v>
      </c>
      <c r="C110" s="19" t="str">
        <f aca="false">INDEX('3 Mock CerviScan'!$F$3:$F$302,MATCH(B110,'3 Mock CerviScan'!$B$3:$B$302,0))</f>
        <v>P-0108</v>
      </c>
      <c r="D110" s="19" t="str">
        <f aca="false">IFERROR(AVERAGEIFS('3 Mock CerviScan'!$E$3:$E$302,'3 Mock CerviScan'!$B$3:$B$302,$B110,'3 Mock CerviScan'!$C$3:$C$302,"HPV16"),"")</f>
        <v/>
      </c>
      <c r="E110" s="19" t="str">
        <f aca="false">IFERROR(AVERAGEIFS('3 Mock CerviScan'!$E$3:$E$302,'3 Mock CerviScan'!$B$3:$B$302,$B110,'3 Mock CerviScan'!$C$3:$C$302,"HPV18"),"")</f>
        <v/>
      </c>
      <c r="F110" s="19" t="str">
        <f aca="false">IFERROR(AVERAGEIFS('3 Mock CerviScan'!$E$3:$E$302,'3 Mock CerviScan'!$B$3:$B$302,$B110,'3 Mock CerviScan'!$C$3:$C$302,"HPV52"),"")</f>
        <v/>
      </c>
      <c r="G110" s="19" t="str">
        <f aca="false">IFERROR(AVERAGEIFS('3 Mock CerviScan'!$E$3:$E$302,'3 Mock CerviScan'!$B$3:$B$302,$B110,'3 Mock CerviScan'!$C$3:$C$302,"HR lain (11 tipe)"),"")</f>
        <v/>
      </c>
      <c r="H110" s="19" t="n">
        <f aca="false">IFERROR(AVERAGEIFS('3 Mock CerviScan'!$E$3:$E$302,'3 Mock CerviScan'!$B$3:$B$302,$B110,'3 Mock CerviScan'!$C$3:$C$302,"Beta-globin (IC)"),"")</f>
        <v>22.1</v>
      </c>
      <c r="I110" s="19" t="str">
        <f aca="false">IF(L110="Tidak","Invalid",IF(AND(ISNUMBER(D110),D110&lt;'Baca Dulu'!$B$13),"Positif","Negatif"))</f>
        <v>Negatif</v>
      </c>
      <c r="J110" s="19" t="str">
        <f aca="false">IF(L110="Tidak","Invalid",IF(AND(ISNUMBER(E110),E110&lt;'Baca Dulu'!$B$13),"Positif","Negatif"))</f>
        <v>Negatif</v>
      </c>
      <c r="K110" s="19" t="str">
        <f aca="false">IF(L110="Tidak","Invalid",IF(OR(AND(ISNUMBER(F110),F110&lt;'Baca Dulu'!$B$13),AND(ISNUMBER(G110),G110&lt;'Baca Dulu'!$B$13)),"Positif","Negatif"))</f>
        <v>Negatif</v>
      </c>
      <c r="L110" s="19" t="str">
        <f aca="false">IF(AND(ISNUMBER(H110),H110&lt;='Baca Dulu'!$B$14),"Ya","Tidak")</f>
        <v>Ya</v>
      </c>
      <c r="M110" s="19" t="str">
        <f aca="false">IF(L110="Tidak","Invalid",IF(OR(I110="Positif",J110="Positif"),"Positif 16/18",IF(K110="Positif","Positif lain","Negatif")))</f>
        <v>Negatif</v>
      </c>
      <c r="N110" s="24" t="str">
        <f aca="false">IF(AND(L110="Ya",COUNT(D110:G110)&gt;0),MIN(D110:G110)-H110,"")</f>
        <v/>
      </c>
      <c r="O110" s="25" t="n">
        <f aca="false">INDEX('3 Mock CerviScan'!$H$3:$H$302,MATCH(B110,'3 Mock CerviScan'!$B$3:$B$302,0))</f>
        <v>46312</v>
      </c>
      <c r="P110" s="19" t="s">
        <v>770</v>
      </c>
    </row>
    <row r="111" customFormat="false" ht="15" hidden="false" customHeight="true" outlineLevel="0" collapsed="false">
      <c r="A111" s="26" t="s">
        <v>769</v>
      </c>
      <c r="B111" s="19" t="s">
        <v>593</v>
      </c>
      <c r="C111" s="19" t="str">
        <f aca="false">INDEX('3 Mock CerviScan'!$F$3:$F$302,MATCH(B111,'3 Mock CerviScan'!$B$3:$B$302,0))</f>
        <v>P-0109</v>
      </c>
      <c r="D111" s="19" t="str">
        <f aca="false">IFERROR(AVERAGEIFS('3 Mock CerviScan'!$E$3:$E$302,'3 Mock CerviScan'!$B$3:$B$302,$B111,'3 Mock CerviScan'!$C$3:$C$302,"HPV16"),"")</f>
        <v/>
      </c>
      <c r="E111" s="19" t="str">
        <f aca="false">IFERROR(AVERAGEIFS('3 Mock CerviScan'!$E$3:$E$302,'3 Mock CerviScan'!$B$3:$B$302,$B111,'3 Mock CerviScan'!$C$3:$C$302,"HPV18"),"")</f>
        <v/>
      </c>
      <c r="F111" s="19" t="str">
        <f aca="false">IFERROR(AVERAGEIFS('3 Mock CerviScan'!$E$3:$E$302,'3 Mock CerviScan'!$B$3:$B$302,$B111,'3 Mock CerviScan'!$C$3:$C$302,"HPV52"),"")</f>
        <v/>
      </c>
      <c r="G111" s="19" t="str">
        <f aca="false">IFERROR(AVERAGEIFS('3 Mock CerviScan'!$E$3:$E$302,'3 Mock CerviScan'!$B$3:$B$302,$B111,'3 Mock CerviScan'!$C$3:$C$302,"HR lain (11 tipe)"),"")</f>
        <v/>
      </c>
      <c r="H111" s="19" t="n">
        <f aca="false">IFERROR(AVERAGEIFS('3 Mock CerviScan'!$E$3:$E$302,'3 Mock CerviScan'!$B$3:$B$302,$B111,'3 Mock CerviScan'!$C$3:$C$302,"Beta-globin (IC)"),"")</f>
        <v>27.4</v>
      </c>
      <c r="I111" s="19" t="str">
        <f aca="false">IF(L111="Tidak","Invalid",IF(AND(ISNUMBER(D111),D111&lt;'Baca Dulu'!$B$13),"Positif","Negatif"))</f>
        <v>Negatif</v>
      </c>
      <c r="J111" s="19" t="str">
        <f aca="false">IF(L111="Tidak","Invalid",IF(AND(ISNUMBER(E111),E111&lt;'Baca Dulu'!$B$13),"Positif","Negatif"))</f>
        <v>Negatif</v>
      </c>
      <c r="K111" s="19" t="str">
        <f aca="false">IF(L111="Tidak","Invalid",IF(OR(AND(ISNUMBER(F111),F111&lt;'Baca Dulu'!$B$13),AND(ISNUMBER(G111),G111&lt;'Baca Dulu'!$B$13)),"Positif","Negatif"))</f>
        <v>Negatif</v>
      </c>
      <c r="L111" s="19" t="str">
        <f aca="false">IF(AND(ISNUMBER(H111),H111&lt;='Baca Dulu'!$B$14),"Ya","Tidak")</f>
        <v>Ya</v>
      </c>
      <c r="M111" s="19" t="str">
        <f aca="false">IF(L111="Tidak","Invalid",IF(OR(I111="Positif",J111="Positif"),"Positif 16/18",IF(K111="Positif","Positif lain","Negatif")))</f>
        <v>Negatif</v>
      </c>
      <c r="N111" s="24" t="str">
        <f aca="false">IF(AND(L111="Ya",COUNT(D111:G111)&gt;0),MIN(D111:G111)-H111,"")</f>
        <v/>
      </c>
      <c r="O111" s="25" t="n">
        <f aca="false">INDEX('3 Mock CerviScan'!$H$3:$H$302,MATCH(B111,'3 Mock CerviScan'!$B$3:$B$302,0))</f>
        <v>46303</v>
      </c>
      <c r="P111" s="19" t="s">
        <v>770</v>
      </c>
    </row>
    <row r="112" customFormat="false" ht="15" hidden="false" customHeight="true" outlineLevel="0" collapsed="false">
      <c r="A112" s="26" t="s">
        <v>769</v>
      </c>
      <c r="B112" s="19" t="s">
        <v>596</v>
      </c>
      <c r="C112" s="19" t="str">
        <f aca="false">INDEX('3 Mock CerviScan'!$F$3:$F$302,MATCH(B112,'3 Mock CerviScan'!$B$3:$B$302,0))</f>
        <v>P-0110</v>
      </c>
      <c r="D112" s="19" t="str">
        <f aca="false">IFERROR(AVERAGEIFS('3 Mock CerviScan'!$E$3:$E$302,'3 Mock CerviScan'!$B$3:$B$302,$B112,'3 Mock CerviScan'!$C$3:$C$302,"HPV16"),"")</f>
        <v/>
      </c>
      <c r="E112" s="19" t="str">
        <f aca="false">IFERROR(AVERAGEIFS('3 Mock CerviScan'!$E$3:$E$302,'3 Mock CerviScan'!$B$3:$B$302,$B112,'3 Mock CerviScan'!$C$3:$C$302,"HPV18"),"")</f>
        <v/>
      </c>
      <c r="F112" s="19" t="str">
        <f aca="false">IFERROR(AVERAGEIFS('3 Mock CerviScan'!$E$3:$E$302,'3 Mock CerviScan'!$B$3:$B$302,$B112,'3 Mock CerviScan'!$C$3:$C$302,"HPV52"),"")</f>
        <v/>
      </c>
      <c r="G112" s="19" t="str">
        <f aca="false">IFERROR(AVERAGEIFS('3 Mock CerviScan'!$E$3:$E$302,'3 Mock CerviScan'!$B$3:$B$302,$B112,'3 Mock CerviScan'!$C$3:$C$302,"HR lain (11 tipe)"),"")</f>
        <v/>
      </c>
      <c r="H112" s="19" t="n">
        <f aca="false">IFERROR(AVERAGEIFS('3 Mock CerviScan'!$E$3:$E$302,'3 Mock CerviScan'!$B$3:$B$302,$B112,'3 Mock CerviScan'!$C$3:$C$302,"Beta-globin (IC)"),"")</f>
        <v>22.8</v>
      </c>
      <c r="I112" s="19" t="str">
        <f aca="false">IF(L112="Tidak","Invalid",IF(AND(ISNUMBER(D112),D112&lt;'Baca Dulu'!$B$13),"Positif","Negatif"))</f>
        <v>Negatif</v>
      </c>
      <c r="J112" s="19" t="str">
        <f aca="false">IF(L112="Tidak","Invalid",IF(AND(ISNUMBER(E112),E112&lt;'Baca Dulu'!$B$13),"Positif","Negatif"))</f>
        <v>Negatif</v>
      </c>
      <c r="K112" s="19" t="str">
        <f aca="false">IF(L112="Tidak","Invalid",IF(OR(AND(ISNUMBER(F112),F112&lt;'Baca Dulu'!$B$13),AND(ISNUMBER(G112),G112&lt;'Baca Dulu'!$B$13)),"Positif","Negatif"))</f>
        <v>Negatif</v>
      </c>
      <c r="L112" s="19" t="str">
        <f aca="false">IF(AND(ISNUMBER(H112),H112&lt;='Baca Dulu'!$B$14),"Ya","Tidak")</f>
        <v>Ya</v>
      </c>
      <c r="M112" s="19" t="str">
        <f aca="false">IF(L112="Tidak","Invalid",IF(OR(I112="Positif",J112="Positif"),"Positif 16/18",IF(K112="Positif","Positif lain","Negatif")))</f>
        <v>Negatif</v>
      </c>
      <c r="N112" s="24" t="str">
        <f aca="false">IF(AND(L112="Ya",COUNT(D112:G112)&gt;0),MIN(D112:G112)-H112,"")</f>
        <v/>
      </c>
      <c r="O112" s="25" t="n">
        <f aca="false">INDEX('3 Mock CerviScan'!$H$3:$H$302,MATCH(B112,'3 Mock CerviScan'!$B$3:$B$302,0))</f>
        <v>46313</v>
      </c>
      <c r="P112" s="19" t="s">
        <v>770</v>
      </c>
    </row>
    <row r="113" customFormat="false" ht="15" hidden="false" customHeight="true" outlineLevel="0" collapsed="false">
      <c r="A113" s="26" t="s">
        <v>769</v>
      </c>
      <c r="B113" s="19" t="s">
        <v>599</v>
      </c>
      <c r="C113" s="19" t="str">
        <f aca="false">INDEX('3 Mock CerviScan'!$F$3:$F$302,MATCH(B113,'3 Mock CerviScan'!$B$3:$B$302,0))</f>
        <v>P-0111</v>
      </c>
      <c r="D113" s="19" t="str">
        <f aca="false">IFERROR(AVERAGEIFS('3 Mock CerviScan'!$E$3:$E$302,'3 Mock CerviScan'!$B$3:$B$302,$B113,'3 Mock CerviScan'!$C$3:$C$302,"HPV16"),"")</f>
        <v/>
      </c>
      <c r="E113" s="19" t="str">
        <f aca="false">IFERROR(AVERAGEIFS('3 Mock CerviScan'!$E$3:$E$302,'3 Mock CerviScan'!$B$3:$B$302,$B113,'3 Mock CerviScan'!$C$3:$C$302,"HPV18"),"")</f>
        <v/>
      </c>
      <c r="F113" s="19" t="str">
        <f aca="false">IFERROR(AVERAGEIFS('3 Mock CerviScan'!$E$3:$E$302,'3 Mock CerviScan'!$B$3:$B$302,$B113,'3 Mock CerviScan'!$C$3:$C$302,"HPV52"),"")</f>
        <v/>
      </c>
      <c r="G113" s="19" t="str">
        <f aca="false">IFERROR(AVERAGEIFS('3 Mock CerviScan'!$E$3:$E$302,'3 Mock CerviScan'!$B$3:$B$302,$B113,'3 Mock CerviScan'!$C$3:$C$302,"HR lain (11 tipe)"),"")</f>
        <v/>
      </c>
      <c r="H113" s="19" t="n">
        <f aca="false">IFERROR(AVERAGEIFS('3 Mock CerviScan'!$E$3:$E$302,'3 Mock CerviScan'!$B$3:$B$302,$B113,'3 Mock CerviScan'!$C$3:$C$302,"Beta-globin (IC)"),"")</f>
        <v>22.4</v>
      </c>
      <c r="I113" s="19" t="str">
        <f aca="false">IF(L113="Tidak","Invalid",IF(AND(ISNUMBER(D113),D113&lt;'Baca Dulu'!$B$13),"Positif","Negatif"))</f>
        <v>Negatif</v>
      </c>
      <c r="J113" s="19" t="str">
        <f aca="false">IF(L113="Tidak","Invalid",IF(AND(ISNUMBER(E113),E113&lt;'Baca Dulu'!$B$13),"Positif","Negatif"))</f>
        <v>Negatif</v>
      </c>
      <c r="K113" s="19" t="str">
        <f aca="false">IF(L113="Tidak","Invalid",IF(OR(AND(ISNUMBER(F113),F113&lt;'Baca Dulu'!$B$13),AND(ISNUMBER(G113),G113&lt;'Baca Dulu'!$B$13)),"Positif","Negatif"))</f>
        <v>Negatif</v>
      </c>
      <c r="L113" s="19" t="str">
        <f aca="false">IF(AND(ISNUMBER(H113),H113&lt;='Baca Dulu'!$B$14),"Ya","Tidak")</f>
        <v>Ya</v>
      </c>
      <c r="M113" s="19" t="str">
        <f aca="false">IF(L113="Tidak","Invalid",IF(OR(I113="Positif",J113="Positif"),"Positif 16/18",IF(K113="Positif","Positif lain","Negatif")))</f>
        <v>Negatif</v>
      </c>
      <c r="N113" s="24" t="str">
        <f aca="false">IF(AND(L113="Ya",COUNT(D113:G113)&gt;0),MIN(D113:G113)-H113,"")</f>
        <v/>
      </c>
      <c r="O113" s="25" t="n">
        <f aca="false">INDEX('3 Mock CerviScan'!$H$3:$H$302,MATCH(B113,'3 Mock CerviScan'!$B$3:$B$302,0))</f>
        <v>46306</v>
      </c>
      <c r="P113" s="19" t="s">
        <v>770</v>
      </c>
    </row>
    <row r="114" customFormat="false" ht="15" hidden="false" customHeight="true" outlineLevel="0" collapsed="false">
      <c r="A114" s="26" t="s">
        <v>769</v>
      </c>
      <c r="B114" s="19" t="s">
        <v>602</v>
      </c>
      <c r="C114" s="19" t="str">
        <f aca="false">INDEX('3 Mock CerviScan'!$F$3:$F$302,MATCH(B114,'3 Mock CerviScan'!$B$3:$B$302,0))</f>
        <v>P-0112</v>
      </c>
      <c r="D114" s="19" t="str">
        <f aca="false">IFERROR(AVERAGEIFS('3 Mock CerviScan'!$E$3:$E$302,'3 Mock CerviScan'!$B$3:$B$302,$B114,'3 Mock CerviScan'!$C$3:$C$302,"HPV16"),"")</f>
        <v/>
      </c>
      <c r="E114" s="19" t="str">
        <f aca="false">IFERROR(AVERAGEIFS('3 Mock CerviScan'!$E$3:$E$302,'3 Mock CerviScan'!$B$3:$B$302,$B114,'3 Mock CerviScan'!$C$3:$C$302,"HPV18"),"")</f>
        <v/>
      </c>
      <c r="F114" s="19" t="str">
        <f aca="false">IFERROR(AVERAGEIFS('3 Mock CerviScan'!$E$3:$E$302,'3 Mock CerviScan'!$B$3:$B$302,$B114,'3 Mock CerviScan'!$C$3:$C$302,"HPV52"),"")</f>
        <v/>
      </c>
      <c r="G114" s="19" t="str">
        <f aca="false">IFERROR(AVERAGEIFS('3 Mock CerviScan'!$E$3:$E$302,'3 Mock CerviScan'!$B$3:$B$302,$B114,'3 Mock CerviScan'!$C$3:$C$302,"HR lain (11 tipe)"),"")</f>
        <v/>
      </c>
      <c r="H114" s="19" t="n">
        <f aca="false">IFERROR(AVERAGEIFS('3 Mock CerviScan'!$E$3:$E$302,'3 Mock CerviScan'!$B$3:$B$302,$B114,'3 Mock CerviScan'!$C$3:$C$302,"Beta-globin (IC)"),"")</f>
        <v>28</v>
      </c>
      <c r="I114" s="19" t="str">
        <f aca="false">IF(L114="Tidak","Invalid",IF(AND(ISNUMBER(D114),D114&lt;'Baca Dulu'!$B$13),"Positif","Negatif"))</f>
        <v>Negatif</v>
      </c>
      <c r="J114" s="19" t="str">
        <f aca="false">IF(L114="Tidak","Invalid",IF(AND(ISNUMBER(E114),E114&lt;'Baca Dulu'!$B$13),"Positif","Negatif"))</f>
        <v>Negatif</v>
      </c>
      <c r="K114" s="19" t="str">
        <f aca="false">IF(L114="Tidak","Invalid",IF(OR(AND(ISNUMBER(F114),F114&lt;'Baca Dulu'!$B$13),AND(ISNUMBER(G114),G114&lt;'Baca Dulu'!$B$13)),"Positif","Negatif"))</f>
        <v>Negatif</v>
      </c>
      <c r="L114" s="19" t="str">
        <f aca="false">IF(AND(ISNUMBER(H114),H114&lt;='Baca Dulu'!$B$14),"Ya","Tidak")</f>
        <v>Ya</v>
      </c>
      <c r="M114" s="19" t="str">
        <f aca="false">IF(L114="Tidak","Invalid",IF(OR(I114="Positif",J114="Positif"),"Positif 16/18",IF(K114="Positif","Positif lain","Negatif")))</f>
        <v>Negatif</v>
      </c>
      <c r="N114" s="24" t="str">
        <f aca="false">IF(AND(L114="Ya",COUNT(D114:G114)&gt;0),MIN(D114:G114)-H114,"")</f>
        <v/>
      </c>
      <c r="O114" s="25" t="n">
        <f aca="false">INDEX('3 Mock CerviScan'!$H$3:$H$302,MATCH(B114,'3 Mock CerviScan'!$B$3:$B$302,0))</f>
        <v>46304</v>
      </c>
      <c r="P114" s="19" t="s">
        <v>770</v>
      </c>
    </row>
    <row r="115" customFormat="false" ht="15" hidden="false" customHeight="true" outlineLevel="0" collapsed="false">
      <c r="A115" s="26" t="s">
        <v>769</v>
      </c>
      <c r="B115" s="19" t="s">
        <v>605</v>
      </c>
      <c r="C115" s="19" t="str">
        <f aca="false">INDEX('3 Mock CerviScan'!$F$3:$F$302,MATCH(B115,'3 Mock CerviScan'!$B$3:$B$302,0))</f>
        <v>P-0113</v>
      </c>
      <c r="D115" s="19" t="str">
        <f aca="false">IFERROR(AVERAGEIFS('3 Mock CerviScan'!$E$3:$E$302,'3 Mock CerviScan'!$B$3:$B$302,$B115,'3 Mock CerviScan'!$C$3:$C$302,"HPV16"),"")</f>
        <v/>
      </c>
      <c r="E115" s="19" t="str">
        <f aca="false">IFERROR(AVERAGEIFS('3 Mock CerviScan'!$E$3:$E$302,'3 Mock CerviScan'!$B$3:$B$302,$B115,'3 Mock CerviScan'!$C$3:$C$302,"HPV18"),"")</f>
        <v/>
      </c>
      <c r="F115" s="19" t="str">
        <f aca="false">IFERROR(AVERAGEIFS('3 Mock CerviScan'!$E$3:$E$302,'3 Mock CerviScan'!$B$3:$B$302,$B115,'3 Mock CerviScan'!$C$3:$C$302,"HPV52"),"")</f>
        <v/>
      </c>
      <c r="G115" s="19" t="str">
        <f aca="false">IFERROR(AVERAGEIFS('3 Mock CerviScan'!$E$3:$E$302,'3 Mock CerviScan'!$B$3:$B$302,$B115,'3 Mock CerviScan'!$C$3:$C$302,"HR lain (11 tipe)"),"")</f>
        <v/>
      </c>
      <c r="H115" s="19" t="n">
        <f aca="false">IFERROR(AVERAGEIFS('3 Mock CerviScan'!$E$3:$E$302,'3 Mock CerviScan'!$B$3:$B$302,$B115,'3 Mock CerviScan'!$C$3:$C$302,"Beta-globin (IC)"),"")</f>
        <v>22.5</v>
      </c>
      <c r="I115" s="19" t="str">
        <f aca="false">IF(L115="Tidak","Invalid",IF(AND(ISNUMBER(D115),D115&lt;'Baca Dulu'!$B$13),"Positif","Negatif"))</f>
        <v>Negatif</v>
      </c>
      <c r="J115" s="19" t="str">
        <f aca="false">IF(L115="Tidak","Invalid",IF(AND(ISNUMBER(E115),E115&lt;'Baca Dulu'!$B$13),"Positif","Negatif"))</f>
        <v>Negatif</v>
      </c>
      <c r="K115" s="19" t="str">
        <f aca="false">IF(L115="Tidak","Invalid",IF(OR(AND(ISNUMBER(F115),F115&lt;'Baca Dulu'!$B$13),AND(ISNUMBER(G115),G115&lt;'Baca Dulu'!$B$13)),"Positif","Negatif"))</f>
        <v>Negatif</v>
      </c>
      <c r="L115" s="19" t="str">
        <f aca="false">IF(AND(ISNUMBER(H115),H115&lt;='Baca Dulu'!$B$14),"Ya","Tidak")</f>
        <v>Ya</v>
      </c>
      <c r="M115" s="19" t="str">
        <f aca="false">IF(L115="Tidak","Invalid",IF(OR(I115="Positif",J115="Positif"),"Positif 16/18",IF(K115="Positif","Positif lain","Negatif")))</f>
        <v>Negatif</v>
      </c>
      <c r="N115" s="24" t="str">
        <f aca="false">IF(AND(L115="Ya",COUNT(D115:G115)&gt;0),MIN(D115:G115)-H115,"")</f>
        <v/>
      </c>
      <c r="O115" s="25" t="n">
        <f aca="false">INDEX('3 Mock CerviScan'!$H$3:$H$302,MATCH(B115,'3 Mock CerviScan'!$B$3:$B$302,0))</f>
        <v>46307</v>
      </c>
      <c r="P115" s="19" t="s">
        <v>770</v>
      </c>
    </row>
    <row r="116" customFormat="false" ht="15" hidden="false" customHeight="true" outlineLevel="0" collapsed="false">
      <c r="A116" s="26" t="s">
        <v>769</v>
      </c>
      <c r="B116" s="19" t="s">
        <v>608</v>
      </c>
      <c r="C116" s="19" t="str">
        <f aca="false">INDEX('3 Mock CerviScan'!$F$3:$F$302,MATCH(B116,'3 Mock CerviScan'!$B$3:$B$302,0))</f>
        <v>P-0114</v>
      </c>
      <c r="D116" s="19" t="str">
        <f aca="false">IFERROR(AVERAGEIFS('3 Mock CerviScan'!$E$3:$E$302,'3 Mock CerviScan'!$B$3:$B$302,$B116,'3 Mock CerviScan'!$C$3:$C$302,"HPV16"),"")</f>
        <v/>
      </c>
      <c r="E116" s="19" t="str">
        <f aca="false">IFERROR(AVERAGEIFS('3 Mock CerviScan'!$E$3:$E$302,'3 Mock CerviScan'!$B$3:$B$302,$B116,'3 Mock CerviScan'!$C$3:$C$302,"HPV18"),"")</f>
        <v/>
      </c>
      <c r="F116" s="19" t="str">
        <f aca="false">IFERROR(AVERAGEIFS('3 Mock CerviScan'!$E$3:$E$302,'3 Mock CerviScan'!$B$3:$B$302,$B116,'3 Mock CerviScan'!$C$3:$C$302,"HPV52"),"")</f>
        <v/>
      </c>
      <c r="G116" s="19" t="str">
        <f aca="false">IFERROR(AVERAGEIFS('3 Mock CerviScan'!$E$3:$E$302,'3 Mock CerviScan'!$B$3:$B$302,$B116,'3 Mock CerviScan'!$C$3:$C$302,"HR lain (11 tipe)"),"")</f>
        <v/>
      </c>
      <c r="H116" s="19" t="n">
        <f aca="false">IFERROR(AVERAGEIFS('3 Mock CerviScan'!$E$3:$E$302,'3 Mock CerviScan'!$B$3:$B$302,$B116,'3 Mock CerviScan'!$C$3:$C$302,"Beta-globin (IC)"),"")</f>
        <v>25</v>
      </c>
      <c r="I116" s="19" t="str">
        <f aca="false">IF(L116="Tidak","Invalid",IF(AND(ISNUMBER(D116),D116&lt;'Baca Dulu'!$B$13),"Positif","Negatif"))</f>
        <v>Negatif</v>
      </c>
      <c r="J116" s="19" t="str">
        <f aca="false">IF(L116="Tidak","Invalid",IF(AND(ISNUMBER(E116),E116&lt;'Baca Dulu'!$B$13),"Positif","Negatif"))</f>
        <v>Negatif</v>
      </c>
      <c r="K116" s="19" t="str">
        <f aca="false">IF(L116="Tidak","Invalid",IF(OR(AND(ISNUMBER(F116),F116&lt;'Baca Dulu'!$B$13),AND(ISNUMBER(G116),G116&lt;'Baca Dulu'!$B$13)),"Positif","Negatif"))</f>
        <v>Negatif</v>
      </c>
      <c r="L116" s="19" t="str">
        <f aca="false">IF(AND(ISNUMBER(H116),H116&lt;='Baca Dulu'!$B$14),"Ya","Tidak")</f>
        <v>Ya</v>
      </c>
      <c r="M116" s="19" t="str">
        <f aca="false">IF(L116="Tidak","Invalid",IF(OR(I116="Positif",J116="Positif"),"Positif 16/18",IF(K116="Positif","Positif lain","Negatif")))</f>
        <v>Negatif</v>
      </c>
      <c r="N116" s="24" t="str">
        <f aca="false">IF(AND(L116="Ya",COUNT(D116:G116)&gt;0),MIN(D116:G116)-H116,"")</f>
        <v/>
      </c>
      <c r="O116" s="25" t="n">
        <f aca="false">INDEX('3 Mock CerviScan'!$H$3:$H$302,MATCH(B116,'3 Mock CerviScan'!$B$3:$B$302,0))</f>
        <v>46307</v>
      </c>
      <c r="P116" s="19" t="s">
        <v>770</v>
      </c>
    </row>
    <row r="117" customFormat="false" ht="15" hidden="false" customHeight="true" outlineLevel="0" collapsed="false">
      <c r="A117" s="26" t="s">
        <v>769</v>
      </c>
      <c r="B117" s="19" t="s">
        <v>611</v>
      </c>
      <c r="C117" s="19" t="str">
        <f aca="false">INDEX('3 Mock CerviScan'!$F$3:$F$302,MATCH(B117,'3 Mock CerviScan'!$B$3:$B$302,0))</f>
        <v>P-0115</v>
      </c>
      <c r="D117" s="19" t="str">
        <f aca="false">IFERROR(AVERAGEIFS('3 Mock CerviScan'!$E$3:$E$302,'3 Mock CerviScan'!$B$3:$B$302,$B117,'3 Mock CerviScan'!$C$3:$C$302,"HPV16"),"")</f>
        <v/>
      </c>
      <c r="E117" s="19" t="str">
        <f aca="false">IFERROR(AVERAGEIFS('3 Mock CerviScan'!$E$3:$E$302,'3 Mock CerviScan'!$B$3:$B$302,$B117,'3 Mock CerviScan'!$C$3:$C$302,"HPV18"),"")</f>
        <v/>
      </c>
      <c r="F117" s="19" t="str">
        <f aca="false">IFERROR(AVERAGEIFS('3 Mock CerviScan'!$E$3:$E$302,'3 Mock CerviScan'!$B$3:$B$302,$B117,'3 Mock CerviScan'!$C$3:$C$302,"HPV52"),"")</f>
        <v/>
      </c>
      <c r="G117" s="19" t="n">
        <f aca="false">IFERROR(AVERAGEIFS('3 Mock CerviScan'!$E$3:$E$302,'3 Mock CerviScan'!$B$3:$B$302,$B117,'3 Mock CerviScan'!$C$3:$C$302,"HR lain (11 tipe)"),"")</f>
        <v>24.8</v>
      </c>
      <c r="H117" s="19" t="n">
        <f aca="false">IFERROR(AVERAGEIFS('3 Mock CerviScan'!$E$3:$E$302,'3 Mock CerviScan'!$B$3:$B$302,$B117,'3 Mock CerviScan'!$C$3:$C$302,"Beta-globin (IC)"),"")</f>
        <v>22.3</v>
      </c>
      <c r="I117" s="19" t="str">
        <f aca="false">IF(L117="Tidak","Invalid",IF(AND(ISNUMBER(D117),D117&lt;'Baca Dulu'!$B$13),"Positif","Negatif"))</f>
        <v>Negatif</v>
      </c>
      <c r="J117" s="19" t="str">
        <f aca="false">IF(L117="Tidak","Invalid",IF(AND(ISNUMBER(E117),E117&lt;'Baca Dulu'!$B$13),"Positif","Negatif"))</f>
        <v>Negatif</v>
      </c>
      <c r="K117" s="19" t="str">
        <f aca="false">IF(L117="Tidak","Invalid",IF(OR(AND(ISNUMBER(F117),F117&lt;'Baca Dulu'!$B$13),AND(ISNUMBER(G117),G117&lt;'Baca Dulu'!$B$13)),"Positif","Negatif"))</f>
        <v>Positif</v>
      </c>
      <c r="L117" s="19" t="str">
        <f aca="false">IF(AND(ISNUMBER(H117),H117&lt;='Baca Dulu'!$B$14),"Ya","Tidak")</f>
        <v>Ya</v>
      </c>
      <c r="M117" s="19" t="str">
        <f aca="false">IF(L117="Tidak","Invalid",IF(OR(I117="Positif",J117="Positif"),"Positif 16/18",IF(K117="Positif","Positif lain","Negatif")))</f>
        <v>Positif lain</v>
      </c>
      <c r="N117" s="24" t="n">
        <f aca="false">IF(AND(L117="Ya",COUNT(D117:G117)&gt;0),MIN(D117:G117)-H117,"")</f>
        <v>2.5</v>
      </c>
      <c r="O117" s="25" t="n">
        <f aca="false">INDEX('3 Mock CerviScan'!$H$3:$H$302,MATCH(B117,'3 Mock CerviScan'!$B$3:$B$302,0))</f>
        <v>46309</v>
      </c>
      <c r="P117" s="19" t="s">
        <v>770</v>
      </c>
    </row>
    <row r="118" customFormat="false" ht="15" hidden="false" customHeight="true" outlineLevel="0" collapsed="false">
      <c r="A118" s="26" t="s">
        <v>769</v>
      </c>
      <c r="B118" s="19" t="s">
        <v>614</v>
      </c>
      <c r="C118" s="19" t="str">
        <f aca="false">INDEX('3 Mock CerviScan'!$F$3:$F$302,MATCH(B118,'3 Mock CerviScan'!$B$3:$B$302,0))</f>
        <v>P-0116</v>
      </c>
      <c r="D118" s="19" t="str">
        <f aca="false">IFERROR(AVERAGEIFS('3 Mock CerviScan'!$E$3:$E$302,'3 Mock CerviScan'!$B$3:$B$302,$B118,'3 Mock CerviScan'!$C$3:$C$302,"HPV16"),"")</f>
        <v/>
      </c>
      <c r="E118" s="19" t="str">
        <f aca="false">IFERROR(AVERAGEIFS('3 Mock CerviScan'!$E$3:$E$302,'3 Mock CerviScan'!$B$3:$B$302,$B118,'3 Mock CerviScan'!$C$3:$C$302,"HPV18"),"")</f>
        <v/>
      </c>
      <c r="F118" s="19" t="str">
        <f aca="false">IFERROR(AVERAGEIFS('3 Mock CerviScan'!$E$3:$E$302,'3 Mock CerviScan'!$B$3:$B$302,$B118,'3 Mock CerviScan'!$C$3:$C$302,"HPV52"),"")</f>
        <v/>
      </c>
      <c r="G118" s="19" t="str">
        <f aca="false">IFERROR(AVERAGEIFS('3 Mock CerviScan'!$E$3:$E$302,'3 Mock CerviScan'!$B$3:$B$302,$B118,'3 Mock CerviScan'!$C$3:$C$302,"HR lain (11 tipe)"),"")</f>
        <v/>
      </c>
      <c r="H118" s="19" t="n">
        <f aca="false">IFERROR(AVERAGEIFS('3 Mock CerviScan'!$E$3:$E$302,'3 Mock CerviScan'!$B$3:$B$302,$B118,'3 Mock CerviScan'!$C$3:$C$302,"Beta-globin (IC)"),"")</f>
        <v>25.5</v>
      </c>
      <c r="I118" s="19" t="str">
        <f aca="false">IF(L118="Tidak","Invalid",IF(AND(ISNUMBER(D118),D118&lt;'Baca Dulu'!$B$13),"Positif","Negatif"))</f>
        <v>Negatif</v>
      </c>
      <c r="J118" s="19" t="str">
        <f aca="false">IF(L118="Tidak","Invalid",IF(AND(ISNUMBER(E118),E118&lt;'Baca Dulu'!$B$13),"Positif","Negatif"))</f>
        <v>Negatif</v>
      </c>
      <c r="K118" s="19" t="str">
        <f aca="false">IF(L118="Tidak","Invalid",IF(OR(AND(ISNUMBER(F118),F118&lt;'Baca Dulu'!$B$13),AND(ISNUMBER(G118),G118&lt;'Baca Dulu'!$B$13)),"Positif","Negatif"))</f>
        <v>Negatif</v>
      </c>
      <c r="L118" s="19" t="str">
        <f aca="false">IF(AND(ISNUMBER(H118),H118&lt;='Baca Dulu'!$B$14),"Ya","Tidak")</f>
        <v>Ya</v>
      </c>
      <c r="M118" s="19" t="str">
        <f aca="false">IF(L118="Tidak","Invalid",IF(OR(I118="Positif",J118="Positif"),"Positif 16/18",IF(K118="Positif","Positif lain","Negatif")))</f>
        <v>Negatif</v>
      </c>
      <c r="N118" s="24" t="str">
        <f aca="false">IF(AND(L118="Ya",COUNT(D118:G118)&gt;0),MIN(D118:G118)-H118,"")</f>
        <v/>
      </c>
      <c r="O118" s="25" t="n">
        <f aca="false">INDEX('3 Mock CerviScan'!$H$3:$H$302,MATCH(B118,'3 Mock CerviScan'!$B$3:$B$302,0))</f>
        <v>46310</v>
      </c>
      <c r="P118" s="19" t="s">
        <v>770</v>
      </c>
    </row>
    <row r="119" customFormat="false" ht="15" hidden="false" customHeight="true" outlineLevel="0" collapsed="false">
      <c r="A119" s="26" t="s">
        <v>769</v>
      </c>
      <c r="B119" s="19" t="s">
        <v>617</v>
      </c>
      <c r="C119" s="19" t="str">
        <f aca="false">INDEX('3 Mock CerviScan'!$F$3:$F$302,MATCH(B119,'3 Mock CerviScan'!$B$3:$B$302,0))</f>
        <v>P-0117</v>
      </c>
      <c r="D119" s="19" t="n">
        <f aca="false">IFERROR(AVERAGEIFS('3 Mock CerviScan'!$E$3:$E$302,'3 Mock CerviScan'!$B$3:$B$302,$B119,'3 Mock CerviScan'!$C$3:$C$302,"HPV16"),"")</f>
        <v>30.1</v>
      </c>
      <c r="E119" s="19" t="str">
        <f aca="false">IFERROR(AVERAGEIFS('3 Mock CerviScan'!$E$3:$E$302,'3 Mock CerviScan'!$B$3:$B$302,$B119,'3 Mock CerviScan'!$C$3:$C$302,"HPV18"),"")</f>
        <v/>
      </c>
      <c r="F119" s="19" t="str">
        <f aca="false">IFERROR(AVERAGEIFS('3 Mock CerviScan'!$E$3:$E$302,'3 Mock CerviScan'!$B$3:$B$302,$B119,'3 Mock CerviScan'!$C$3:$C$302,"HPV52"),"")</f>
        <v/>
      </c>
      <c r="G119" s="19" t="str">
        <f aca="false">IFERROR(AVERAGEIFS('3 Mock CerviScan'!$E$3:$E$302,'3 Mock CerviScan'!$B$3:$B$302,$B119,'3 Mock CerviScan'!$C$3:$C$302,"HR lain (11 tipe)"),"")</f>
        <v/>
      </c>
      <c r="H119" s="19" t="n">
        <f aca="false">IFERROR(AVERAGEIFS('3 Mock CerviScan'!$E$3:$E$302,'3 Mock CerviScan'!$B$3:$B$302,$B119,'3 Mock CerviScan'!$C$3:$C$302,"Beta-globin (IC)"),"")</f>
        <v>28</v>
      </c>
      <c r="I119" s="19" t="str">
        <f aca="false">IF(L119="Tidak","Invalid",IF(AND(ISNUMBER(D119),D119&lt;'Baca Dulu'!$B$13),"Positif","Negatif"))</f>
        <v>Positif</v>
      </c>
      <c r="J119" s="19" t="str">
        <f aca="false">IF(L119="Tidak","Invalid",IF(AND(ISNUMBER(E119),E119&lt;'Baca Dulu'!$B$13),"Positif","Negatif"))</f>
        <v>Negatif</v>
      </c>
      <c r="K119" s="19" t="str">
        <f aca="false">IF(L119="Tidak","Invalid",IF(OR(AND(ISNUMBER(F119),F119&lt;'Baca Dulu'!$B$13),AND(ISNUMBER(G119),G119&lt;'Baca Dulu'!$B$13)),"Positif","Negatif"))</f>
        <v>Negatif</v>
      </c>
      <c r="L119" s="19" t="str">
        <f aca="false">IF(AND(ISNUMBER(H119),H119&lt;='Baca Dulu'!$B$14),"Ya","Tidak")</f>
        <v>Ya</v>
      </c>
      <c r="M119" s="19" t="str">
        <f aca="false">IF(L119="Tidak","Invalid",IF(OR(I119="Positif",J119="Positif"),"Positif 16/18",IF(K119="Positif","Positif lain","Negatif")))</f>
        <v>Positif 16/18</v>
      </c>
      <c r="N119" s="24" t="n">
        <f aca="false">IF(AND(L119="Ya",COUNT(D119:G119)&gt;0),MIN(D119:G119)-H119,"")</f>
        <v>2.1</v>
      </c>
      <c r="O119" s="25" t="n">
        <f aca="false">INDEX('3 Mock CerviScan'!$H$3:$H$302,MATCH(B119,'3 Mock CerviScan'!$B$3:$B$302,0))</f>
        <v>46312</v>
      </c>
      <c r="P119" s="19" t="s">
        <v>770</v>
      </c>
    </row>
    <row r="120" customFormat="false" ht="15" hidden="false" customHeight="true" outlineLevel="0" collapsed="false">
      <c r="A120" s="26" t="s">
        <v>769</v>
      </c>
      <c r="B120" s="19" t="s">
        <v>620</v>
      </c>
      <c r="C120" s="19" t="str">
        <f aca="false">INDEX('3 Mock CerviScan'!$F$3:$F$302,MATCH(B120,'3 Mock CerviScan'!$B$3:$B$302,0))</f>
        <v>P-0118</v>
      </c>
      <c r="D120" s="19" t="str">
        <f aca="false">IFERROR(AVERAGEIFS('3 Mock CerviScan'!$E$3:$E$302,'3 Mock CerviScan'!$B$3:$B$302,$B120,'3 Mock CerviScan'!$C$3:$C$302,"HPV16"),"")</f>
        <v/>
      </c>
      <c r="E120" s="19" t="str">
        <f aca="false">IFERROR(AVERAGEIFS('3 Mock CerviScan'!$E$3:$E$302,'3 Mock CerviScan'!$B$3:$B$302,$B120,'3 Mock CerviScan'!$C$3:$C$302,"HPV18"),"")</f>
        <v/>
      </c>
      <c r="F120" s="19" t="str">
        <f aca="false">IFERROR(AVERAGEIFS('3 Mock CerviScan'!$E$3:$E$302,'3 Mock CerviScan'!$B$3:$B$302,$B120,'3 Mock CerviScan'!$C$3:$C$302,"HPV52"),"")</f>
        <v/>
      </c>
      <c r="G120" s="19" t="str">
        <f aca="false">IFERROR(AVERAGEIFS('3 Mock CerviScan'!$E$3:$E$302,'3 Mock CerviScan'!$B$3:$B$302,$B120,'3 Mock CerviScan'!$C$3:$C$302,"HR lain (11 tipe)"),"")</f>
        <v/>
      </c>
      <c r="H120" s="19" t="n">
        <f aca="false">IFERROR(AVERAGEIFS('3 Mock CerviScan'!$E$3:$E$302,'3 Mock CerviScan'!$B$3:$B$302,$B120,'3 Mock CerviScan'!$C$3:$C$302,"Beta-globin (IC)"),"")</f>
        <v>28</v>
      </c>
      <c r="I120" s="19" t="str">
        <f aca="false">IF(L120="Tidak","Invalid",IF(AND(ISNUMBER(D120),D120&lt;'Baca Dulu'!$B$13),"Positif","Negatif"))</f>
        <v>Negatif</v>
      </c>
      <c r="J120" s="19" t="str">
        <f aca="false">IF(L120="Tidak","Invalid",IF(AND(ISNUMBER(E120),E120&lt;'Baca Dulu'!$B$13),"Positif","Negatif"))</f>
        <v>Negatif</v>
      </c>
      <c r="K120" s="19" t="str">
        <f aca="false">IF(L120="Tidak","Invalid",IF(OR(AND(ISNUMBER(F120),F120&lt;'Baca Dulu'!$B$13),AND(ISNUMBER(G120),G120&lt;'Baca Dulu'!$B$13)),"Positif","Negatif"))</f>
        <v>Negatif</v>
      </c>
      <c r="L120" s="19" t="str">
        <f aca="false">IF(AND(ISNUMBER(H120),H120&lt;='Baca Dulu'!$B$14),"Ya","Tidak")</f>
        <v>Ya</v>
      </c>
      <c r="M120" s="19" t="str">
        <f aca="false">IF(L120="Tidak","Invalid",IF(OR(I120="Positif",J120="Positif"),"Positif 16/18",IF(K120="Positif","Positif lain","Negatif")))</f>
        <v>Negatif</v>
      </c>
      <c r="N120" s="24" t="str">
        <f aca="false">IF(AND(L120="Ya",COUNT(D120:G120)&gt;0),MIN(D120:G120)-H120,"")</f>
        <v/>
      </c>
      <c r="O120" s="25" t="n">
        <f aca="false">INDEX('3 Mock CerviScan'!$H$3:$H$302,MATCH(B120,'3 Mock CerviScan'!$B$3:$B$302,0))</f>
        <v>46309</v>
      </c>
      <c r="P120" s="19" t="s">
        <v>770</v>
      </c>
    </row>
    <row r="121" customFormat="false" ht="15" hidden="false" customHeight="true" outlineLevel="0" collapsed="false">
      <c r="A121" s="26" t="s">
        <v>769</v>
      </c>
      <c r="B121" s="19" t="s">
        <v>623</v>
      </c>
      <c r="C121" s="19" t="str">
        <f aca="false">INDEX('3 Mock CerviScan'!$F$3:$F$302,MATCH(B121,'3 Mock CerviScan'!$B$3:$B$302,0))</f>
        <v>P-0119</v>
      </c>
      <c r="D121" s="19" t="str">
        <f aca="false">IFERROR(AVERAGEIFS('3 Mock CerviScan'!$E$3:$E$302,'3 Mock CerviScan'!$B$3:$B$302,$B121,'3 Mock CerviScan'!$C$3:$C$302,"HPV16"),"")</f>
        <v/>
      </c>
      <c r="E121" s="19" t="str">
        <f aca="false">IFERROR(AVERAGEIFS('3 Mock CerviScan'!$E$3:$E$302,'3 Mock CerviScan'!$B$3:$B$302,$B121,'3 Mock CerviScan'!$C$3:$C$302,"HPV18"),"")</f>
        <v/>
      </c>
      <c r="F121" s="19" t="str">
        <f aca="false">IFERROR(AVERAGEIFS('3 Mock CerviScan'!$E$3:$E$302,'3 Mock CerviScan'!$B$3:$B$302,$B121,'3 Mock CerviScan'!$C$3:$C$302,"HPV52"),"")</f>
        <v/>
      </c>
      <c r="G121" s="19" t="str">
        <f aca="false">IFERROR(AVERAGEIFS('3 Mock CerviScan'!$E$3:$E$302,'3 Mock CerviScan'!$B$3:$B$302,$B121,'3 Mock CerviScan'!$C$3:$C$302,"HR lain (11 tipe)"),"")</f>
        <v/>
      </c>
      <c r="H121" s="19" t="n">
        <f aca="false">IFERROR(AVERAGEIFS('3 Mock CerviScan'!$E$3:$E$302,'3 Mock CerviScan'!$B$3:$B$302,$B121,'3 Mock CerviScan'!$C$3:$C$302,"Beta-globin (IC)"),"")</f>
        <v>28.1</v>
      </c>
      <c r="I121" s="19" t="str">
        <f aca="false">IF(L121="Tidak","Invalid",IF(AND(ISNUMBER(D121),D121&lt;'Baca Dulu'!$B$13),"Positif","Negatif"))</f>
        <v>Negatif</v>
      </c>
      <c r="J121" s="19" t="str">
        <f aca="false">IF(L121="Tidak","Invalid",IF(AND(ISNUMBER(E121),E121&lt;'Baca Dulu'!$B$13),"Positif","Negatif"))</f>
        <v>Negatif</v>
      </c>
      <c r="K121" s="19" t="str">
        <f aca="false">IF(L121="Tidak","Invalid",IF(OR(AND(ISNUMBER(F121),F121&lt;'Baca Dulu'!$B$13),AND(ISNUMBER(G121),G121&lt;'Baca Dulu'!$B$13)),"Positif","Negatif"))</f>
        <v>Negatif</v>
      </c>
      <c r="L121" s="19" t="str">
        <f aca="false">IF(AND(ISNUMBER(H121),H121&lt;='Baca Dulu'!$B$14),"Ya","Tidak")</f>
        <v>Ya</v>
      </c>
      <c r="M121" s="19" t="str">
        <f aca="false">IF(L121="Tidak","Invalid",IF(OR(I121="Positif",J121="Positif"),"Positif 16/18",IF(K121="Positif","Positif lain","Negatif")))</f>
        <v>Negatif</v>
      </c>
      <c r="N121" s="24" t="str">
        <f aca="false">IF(AND(L121="Ya",COUNT(D121:G121)&gt;0),MIN(D121:G121)-H121,"")</f>
        <v/>
      </c>
      <c r="O121" s="25" t="n">
        <f aca="false">INDEX('3 Mock CerviScan'!$H$3:$H$302,MATCH(B121,'3 Mock CerviScan'!$B$3:$B$302,0))</f>
        <v>46314</v>
      </c>
      <c r="P121" s="19" t="s">
        <v>770</v>
      </c>
    </row>
    <row r="122" customFormat="false" ht="15" hidden="false" customHeight="true" outlineLevel="0" collapsed="false">
      <c r="A122" s="26" t="s">
        <v>769</v>
      </c>
      <c r="B122" s="19" t="s">
        <v>626</v>
      </c>
      <c r="C122" s="19" t="str">
        <f aca="false">INDEX('3 Mock CerviScan'!$F$3:$F$302,MATCH(B122,'3 Mock CerviScan'!$B$3:$B$302,0))</f>
        <v>P-0120</v>
      </c>
      <c r="D122" s="19" t="str">
        <f aca="false">IFERROR(AVERAGEIFS('3 Mock CerviScan'!$E$3:$E$302,'3 Mock CerviScan'!$B$3:$B$302,$B122,'3 Mock CerviScan'!$C$3:$C$302,"HPV16"),"")</f>
        <v/>
      </c>
      <c r="E122" s="19" t="str">
        <f aca="false">IFERROR(AVERAGEIFS('3 Mock CerviScan'!$E$3:$E$302,'3 Mock CerviScan'!$B$3:$B$302,$B122,'3 Mock CerviScan'!$C$3:$C$302,"HPV18"),"")</f>
        <v/>
      </c>
      <c r="F122" s="19" t="str">
        <f aca="false">IFERROR(AVERAGEIFS('3 Mock CerviScan'!$E$3:$E$302,'3 Mock CerviScan'!$B$3:$B$302,$B122,'3 Mock CerviScan'!$C$3:$C$302,"HPV52"),"")</f>
        <v/>
      </c>
      <c r="G122" s="19" t="str">
        <f aca="false">IFERROR(AVERAGEIFS('3 Mock CerviScan'!$E$3:$E$302,'3 Mock CerviScan'!$B$3:$B$302,$B122,'3 Mock CerviScan'!$C$3:$C$302,"HR lain (11 tipe)"),"")</f>
        <v/>
      </c>
      <c r="H122" s="19" t="n">
        <f aca="false">IFERROR(AVERAGEIFS('3 Mock CerviScan'!$E$3:$E$302,'3 Mock CerviScan'!$B$3:$B$302,$B122,'3 Mock CerviScan'!$C$3:$C$302,"Beta-globin (IC)"),"")</f>
        <v>29.6</v>
      </c>
      <c r="I122" s="19" t="str">
        <f aca="false">IF(L122="Tidak","Invalid",IF(AND(ISNUMBER(D122),D122&lt;'Baca Dulu'!$B$13),"Positif","Negatif"))</f>
        <v>Negatif</v>
      </c>
      <c r="J122" s="19" t="str">
        <f aca="false">IF(L122="Tidak","Invalid",IF(AND(ISNUMBER(E122),E122&lt;'Baca Dulu'!$B$13),"Positif","Negatif"))</f>
        <v>Negatif</v>
      </c>
      <c r="K122" s="19" t="str">
        <f aca="false">IF(L122="Tidak","Invalid",IF(OR(AND(ISNUMBER(F122),F122&lt;'Baca Dulu'!$B$13),AND(ISNUMBER(G122),G122&lt;'Baca Dulu'!$B$13)),"Positif","Negatif"))</f>
        <v>Negatif</v>
      </c>
      <c r="L122" s="19" t="str">
        <f aca="false">IF(AND(ISNUMBER(H122),H122&lt;='Baca Dulu'!$B$14),"Ya","Tidak")</f>
        <v>Ya</v>
      </c>
      <c r="M122" s="19" t="str">
        <f aca="false">IF(L122="Tidak","Invalid",IF(OR(I122="Positif",J122="Positif"),"Positif 16/18",IF(K122="Positif","Positif lain","Negatif")))</f>
        <v>Negatif</v>
      </c>
      <c r="N122" s="24" t="str">
        <f aca="false">IF(AND(L122="Ya",COUNT(D122:G122)&gt;0),MIN(D122:G122)-H122,"")</f>
        <v/>
      </c>
      <c r="O122" s="25" t="n">
        <f aca="false">INDEX('3 Mock CerviScan'!$H$3:$H$302,MATCH(B122,'3 Mock CerviScan'!$B$3:$B$302,0))</f>
        <v>46314</v>
      </c>
      <c r="P122" s="19" t="s">
        <v>770</v>
      </c>
    </row>
    <row r="123" customFormat="false" ht="15" hidden="false" customHeight="true" outlineLevel="0" collapsed="false">
      <c r="A123" s="27" t="s">
        <v>771</v>
      </c>
      <c r="B123" s="19" t="str">
        <f aca="false">'4 Mock cobas'!A3</f>
        <v>CB-26-8800</v>
      </c>
      <c r="C123" s="19" t="str">
        <f aca="false">'4 Mock cobas'!B3</f>
        <v>P-0121</v>
      </c>
      <c r="D123" s="19"/>
      <c r="E123" s="19"/>
      <c r="F123" s="19"/>
      <c r="G123" s="19"/>
      <c r="H123" s="19"/>
      <c r="I123" s="19" t="str">
        <f aca="false">IF('4 Mock cobas'!F3="Invalid","Invalid",IF('4 Mock cobas'!C3="POS","Positif","Negatif"))</f>
        <v>Negatif</v>
      </c>
      <c r="J123" s="19" t="str">
        <f aca="false">IF('4 Mock cobas'!F3="Invalid","Invalid",IF('4 Mock cobas'!D3="POS","Positif","Negatif"))</f>
        <v>Negatif</v>
      </c>
      <c r="K123" s="19" t="str">
        <f aca="false">IF('4 Mock cobas'!F3="Invalid","Invalid",IF('4 Mock cobas'!E3="POS","Positif","Negatif"))</f>
        <v>Negatif</v>
      </c>
      <c r="L123" s="19" t="str">
        <f aca="false">IF('4 Mock cobas'!F3="Valid","Ya","Tidak")</f>
        <v>Ya</v>
      </c>
      <c r="M123" s="19" t="str">
        <f aca="false">IF(L123="Tidak","Invalid",IF(OR(I123="Positif",J123="Positif"),"Positif 16/18",IF(K123="Positif","Positif lain","Negatif")))</f>
        <v>Negatif</v>
      </c>
      <c r="N123" s="24" t="str">
        <f aca="false">"Perlu cek"</f>
        <v>Perlu cek</v>
      </c>
      <c r="O123" s="25" t="n">
        <f aca="false">'4 Mock cobas'!I3</f>
        <v>46313</v>
      </c>
      <c r="P123" s="19" t="s">
        <v>772</v>
      </c>
    </row>
    <row r="124" customFormat="false" ht="15" hidden="false" customHeight="true" outlineLevel="0" collapsed="false">
      <c r="A124" s="27" t="s">
        <v>771</v>
      </c>
      <c r="B124" s="19" t="str">
        <f aca="false">'4 Mock cobas'!A4</f>
        <v>CB-26-8801</v>
      </c>
      <c r="C124" s="19" t="str">
        <f aca="false">'4 Mock cobas'!B4</f>
        <v>P-0122</v>
      </c>
      <c r="D124" s="19"/>
      <c r="E124" s="19"/>
      <c r="F124" s="19"/>
      <c r="G124" s="19"/>
      <c r="H124" s="19"/>
      <c r="I124" s="19" t="str">
        <f aca="false">IF('4 Mock cobas'!F4="Invalid","Invalid",IF('4 Mock cobas'!C4="POS","Positif","Negatif"))</f>
        <v>Negatif</v>
      </c>
      <c r="J124" s="19" t="str">
        <f aca="false">IF('4 Mock cobas'!F4="Invalid","Invalid",IF('4 Mock cobas'!D4="POS","Positif","Negatif"))</f>
        <v>Negatif</v>
      </c>
      <c r="K124" s="19" t="str">
        <f aca="false">IF('4 Mock cobas'!F4="Invalid","Invalid",IF('4 Mock cobas'!E4="POS","Positif","Negatif"))</f>
        <v>Negatif</v>
      </c>
      <c r="L124" s="19" t="str">
        <f aca="false">IF('4 Mock cobas'!F4="Valid","Ya","Tidak")</f>
        <v>Ya</v>
      </c>
      <c r="M124" s="19" t="str">
        <f aca="false">IF(L124="Tidak","Invalid",IF(OR(I124="Positif",J124="Positif"),"Positif 16/18",IF(K124="Positif","Positif lain","Negatif")))</f>
        <v>Negatif</v>
      </c>
      <c r="N124" s="24" t="str">
        <f aca="false">"Perlu cek"</f>
        <v>Perlu cek</v>
      </c>
      <c r="O124" s="25" t="n">
        <f aca="false">'4 Mock cobas'!I4</f>
        <v>46306</v>
      </c>
      <c r="P124" s="19" t="s">
        <v>772</v>
      </c>
    </row>
    <row r="125" customFormat="false" ht="15" hidden="false" customHeight="true" outlineLevel="0" collapsed="false">
      <c r="A125" s="27" t="s">
        <v>771</v>
      </c>
      <c r="B125" s="19" t="str">
        <f aca="false">'4 Mock cobas'!A5</f>
        <v>CB-26-8802</v>
      </c>
      <c r="C125" s="19" t="str">
        <f aca="false">'4 Mock cobas'!B5</f>
        <v>P-0123</v>
      </c>
      <c r="D125" s="19"/>
      <c r="E125" s="19"/>
      <c r="F125" s="19"/>
      <c r="G125" s="19"/>
      <c r="H125" s="19"/>
      <c r="I125" s="19" t="str">
        <f aca="false">IF('4 Mock cobas'!F5="Invalid","Invalid",IF('4 Mock cobas'!C5="POS","Positif","Negatif"))</f>
        <v>Negatif</v>
      </c>
      <c r="J125" s="19" t="str">
        <f aca="false">IF('4 Mock cobas'!F5="Invalid","Invalid",IF('4 Mock cobas'!D5="POS","Positif","Negatif"))</f>
        <v>Negatif</v>
      </c>
      <c r="K125" s="19" t="str">
        <f aca="false">IF('4 Mock cobas'!F5="Invalid","Invalid",IF('4 Mock cobas'!E5="POS","Positif","Negatif"))</f>
        <v>Negatif</v>
      </c>
      <c r="L125" s="19" t="str">
        <f aca="false">IF('4 Mock cobas'!F5="Valid","Ya","Tidak")</f>
        <v>Ya</v>
      </c>
      <c r="M125" s="19" t="str">
        <f aca="false">IF(L125="Tidak","Invalid",IF(OR(I125="Positif",J125="Positif"),"Positif 16/18",IF(K125="Positif","Positif lain","Negatif")))</f>
        <v>Negatif</v>
      </c>
      <c r="N125" s="24" t="str">
        <f aca="false">"Perlu cek"</f>
        <v>Perlu cek</v>
      </c>
      <c r="O125" s="25" t="n">
        <f aca="false">'4 Mock cobas'!I5</f>
        <v>46305</v>
      </c>
      <c r="P125" s="19" t="s">
        <v>772</v>
      </c>
    </row>
    <row r="126" customFormat="false" ht="15" hidden="false" customHeight="true" outlineLevel="0" collapsed="false">
      <c r="A126" s="27" t="s">
        <v>771</v>
      </c>
      <c r="B126" s="19" t="str">
        <f aca="false">'4 Mock cobas'!A6</f>
        <v>CB-26-8803</v>
      </c>
      <c r="C126" s="19" t="str">
        <f aca="false">'4 Mock cobas'!B6</f>
        <v>P-0124</v>
      </c>
      <c r="D126" s="19"/>
      <c r="E126" s="19"/>
      <c r="F126" s="19"/>
      <c r="G126" s="19"/>
      <c r="H126" s="19"/>
      <c r="I126" s="19" t="str">
        <f aca="false">IF('4 Mock cobas'!F6="Invalid","Invalid",IF('4 Mock cobas'!C6="POS","Positif","Negatif"))</f>
        <v>Positif</v>
      </c>
      <c r="J126" s="19" t="str">
        <f aca="false">IF('4 Mock cobas'!F6="Invalid","Invalid",IF('4 Mock cobas'!D6="POS","Positif","Negatif"))</f>
        <v>Negatif</v>
      </c>
      <c r="K126" s="19" t="str">
        <f aca="false">IF('4 Mock cobas'!F6="Invalid","Invalid",IF('4 Mock cobas'!E6="POS","Positif","Negatif"))</f>
        <v>Negatif</v>
      </c>
      <c r="L126" s="19" t="str">
        <f aca="false">IF('4 Mock cobas'!F6="Valid","Ya","Tidak")</f>
        <v>Ya</v>
      </c>
      <c r="M126" s="19" t="str">
        <f aca="false">IF(L126="Tidak","Invalid",IF(OR(I126="Positif",J126="Positif"),"Positif 16/18",IF(K126="Positif","Positif lain","Negatif")))</f>
        <v>Positif 16/18</v>
      </c>
      <c r="N126" s="24" t="str">
        <f aca="false">"Perlu cek"</f>
        <v>Perlu cek</v>
      </c>
      <c r="O126" s="25" t="n">
        <f aca="false">'4 Mock cobas'!I6</f>
        <v>46304</v>
      </c>
      <c r="P126" s="19" t="s">
        <v>772</v>
      </c>
    </row>
    <row r="127" customFormat="false" ht="15" hidden="false" customHeight="true" outlineLevel="0" collapsed="false">
      <c r="A127" s="27" t="s">
        <v>771</v>
      </c>
      <c r="B127" s="19" t="str">
        <f aca="false">'4 Mock cobas'!A7</f>
        <v>CB-26-8804</v>
      </c>
      <c r="C127" s="19" t="str">
        <f aca="false">'4 Mock cobas'!B7</f>
        <v>P-0125</v>
      </c>
      <c r="D127" s="19"/>
      <c r="E127" s="19"/>
      <c r="F127" s="19"/>
      <c r="G127" s="19"/>
      <c r="H127" s="19"/>
      <c r="I127" s="19" t="str">
        <f aca="false">IF('4 Mock cobas'!F7="Invalid","Invalid",IF('4 Mock cobas'!C7="POS","Positif","Negatif"))</f>
        <v>Negatif</v>
      </c>
      <c r="J127" s="19" t="str">
        <f aca="false">IF('4 Mock cobas'!F7="Invalid","Invalid",IF('4 Mock cobas'!D7="POS","Positif","Negatif"))</f>
        <v>Negatif</v>
      </c>
      <c r="K127" s="19" t="str">
        <f aca="false">IF('4 Mock cobas'!F7="Invalid","Invalid",IF('4 Mock cobas'!E7="POS","Positif","Negatif"))</f>
        <v>Negatif</v>
      </c>
      <c r="L127" s="19" t="str">
        <f aca="false">IF('4 Mock cobas'!F7="Valid","Ya","Tidak")</f>
        <v>Ya</v>
      </c>
      <c r="M127" s="19" t="str">
        <f aca="false">IF(L127="Tidak","Invalid",IF(OR(I127="Positif",J127="Positif"),"Positif 16/18",IF(K127="Positif","Positif lain","Negatif")))</f>
        <v>Negatif</v>
      </c>
      <c r="N127" s="24" t="str">
        <f aca="false">"Perlu cek"</f>
        <v>Perlu cek</v>
      </c>
      <c r="O127" s="25" t="n">
        <f aca="false">'4 Mock cobas'!I7</f>
        <v>46306</v>
      </c>
      <c r="P127" s="19" t="s">
        <v>772</v>
      </c>
    </row>
    <row r="128" customFormat="false" ht="15" hidden="false" customHeight="true" outlineLevel="0" collapsed="false">
      <c r="A128" s="27" t="s">
        <v>771</v>
      </c>
      <c r="B128" s="19" t="str">
        <f aca="false">'4 Mock cobas'!A8</f>
        <v>CB-26-8805</v>
      </c>
      <c r="C128" s="19" t="str">
        <f aca="false">'4 Mock cobas'!B8</f>
        <v>P-0126</v>
      </c>
      <c r="D128" s="19"/>
      <c r="E128" s="19"/>
      <c r="F128" s="19"/>
      <c r="G128" s="19"/>
      <c r="H128" s="19"/>
      <c r="I128" s="19" t="str">
        <f aca="false">IF('4 Mock cobas'!F8="Invalid","Invalid",IF('4 Mock cobas'!C8="POS","Positif","Negatif"))</f>
        <v>Negatif</v>
      </c>
      <c r="J128" s="19" t="str">
        <f aca="false">IF('4 Mock cobas'!F8="Invalid","Invalid",IF('4 Mock cobas'!D8="POS","Positif","Negatif"))</f>
        <v>Negatif</v>
      </c>
      <c r="K128" s="19" t="str">
        <f aca="false">IF('4 Mock cobas'!F8="Invalid","Invalid",IF('4 Mock cobas'!E8="POS","Positif","Negatif"))</f>
        <v>Negatif</v>
      </c>
      <c r="L128" s="19" t="str">
        <f aca="false">IF('4 Mock cobas'!F8="Valid","Ya","Tidak")</f>
        <v>Ya</v>
      </c>
      <c r="M128" s="19" t="str">
        <f aca="false">IF(L128="Tidak","Invalid",IF(OR(I128="Positif",J128="Positif"),"Positif 16/18",IF(K128="Positif","Positif lain","Negatif")))</f>
        <v>Negatif</v>
      </c>
      <c r="N128" s="24" t="str">
        <f aca="false">"Perlu cek"</f>
        <v>Perlu cek</v>
      </c>
      <c r="O128" s="25" t="n">
        <f aca="false">'4 Mock cobas'!I8</f>
        <v>46304</v>
      </c>
      <c r="P128" s="19" t="s">
        <v>772</v>
      </c>
    </row>
    <row r="129" customFormat="false" ht="15" hidden="false" customHeight="true" outlineLevel="0" collapsed="false">
      <c r="A129" s="27" t="s">
        <v>771</v>
      </c>
      <c r="B129" s="19" t="str">
        <f aca="false">'4 Mock cobas'!A9</f>
        <v>CB-26-8806</v>
      </c>
      <c r="C129" s="19" t="str">
        <f aca="false">'4 Mock cobas'!B9</f>
        <v>P-0127</v>
      </c>
      <c r="D129" s="19"/>
      <c r="E129" s="19"/>
      <c r="F129" s="19"/>
      <c r="G129" s="19"/>
      <c r="H129" s="19"/>
      <c r="I129" s="19" t="str">
        <f aca="false">IF('4 Mock cobas'!F9="Invalid","Invalid",IF('4 Mock cobas'!C9="POS","Positif","Negatif"))</f>
        <v>Negatif</v>
      </c>
      <c r="J129" s="19" t="str">
        <f aca="false">IF('4 Mock cobas'!F9="Invalid","Invalid",IF('4 Mock cobas'!D9="POS","Positif","Negatif"))</f>
        <v>Negatif</v>
      </c>
      <c r="K129" s="19" t="str">
        <f aca="false">IF('4 Mock cobas'!F9="Invalid","Invalid",IF('4 Mock cobas'!E9="POS","Positif","Negatif"))</f>
        <v>Negatif</v>
      </c>
      <c r="L129" s="19" t="str">
        <f aca="false">IF('4 Mock cobas'!F9="Valid","Ya","Tidak")</f>
        <v>Ya</v>
      </c>
      <c r="M129" s="19" t="str">
        <f aca="false">IF(L129="Tidak","Invalid",IF(OR(I129="Positif",J129="Positif"),"Positif 16/18",IF(K129="Positif","Positif lain","Negatif")))</f>
        <v>Negatif</v>
      </c>
      <c r="N129" s="24" t="str">
        <f aca="false">"Perlu cek"</f>
        <v>Perlu cek</v>
      </c>
      <c r="O129" s="25" t="n">
        <f aca="false">'4 Mock cobas'!I9</f>
        <v>46313</v>
      </c>
      <c r="P129" s="19" t="s">
        <v>772</v>
      </c>
    </row>
    <row r="130" customFormat="false" ht="15" hidden="false" customHeight="true" outlineLevel="0" collapsed="false">
      <c r="A130" s="27" t="s">
        <v>771</v>
      </c>
      <c r="B130" s="19" t="str">
        <f aca="false">'4 Mock cobas'!A10</f>
        <v>CB-26-8807</v>
      </c>
      <c r="C130" s="19" t="str">
        <f aca="false">'4 Mock cobas'!B10</f>
        <v>P-0128</v>
      </c>
      <c r="D130" s="19"/>
      <c r="E130" s="19"/>
      <c r="F130" s="19"/>
      <c r="G130" s="19"/>
      <c r="H130" s="19"/>
      <c r="I130" s="19" t="str">
        <f aca="false">IF('4 Mock cobas'!F10="Invalid","Invalid",IF('4 Mock cobas'!C10="POS","Positif","Negatif"))</f>
        <v>Negatif</v>
      </c>
      <c r="J130" s="19" t="str">
        <f aca="false">IF('4 Mock cobas'!F10="Invalid","Invalid",IF('4 Mock cobas'!D10="POS","Positif","Negatif"))</f>
        <v>Negatif</v>
      </c>
      <c r="K130" s="19" t="str">
        <f aca="false">IF('4 Mock cobas'!F10="Invalid","Invalid",IF('4 Mock cobas'!E10="POS","Positif","Negatif"))</f>
        <v>Positif</v>
      </c>
      <c r="L130" s="19" t="str">
        <f aca="false">IF('4 Mock cobas'!F10="Valid","Ya","Tidak")</f>
        <v>Ya</v>
      </c>
      <c r="M130" s="19" t="str">
        <f aca="false">IF(L130="Tidak","Invalid",IF(OR(I130="Positif",J130="Positif"),"Positif 16/18",IF(K130="Positif","Positif lain","Negatif")))</f>
        <v>Positif lain</v>
      </c>
      <c r="N130" s="24" t="str">
        <f aca="false">"Perlu cek"</f>
        <v>Perlu cek</v>
      </c>
      <c r="O130" s="25" t="n">
        <f aca="false">'4 Mock cobas'!I10</f>
        <v>46313</v>
      </c>
      <c r="P130" s="19" t="s">
        <v>772</v>
      </c>
    </row>
    <row r="131" customFormat="false" ht="15" hidden="false" customHeight="true" outlineLevel="0" collapsed="false">
      <c r="A131" s="27" t="s">
        <v>771</v>
      </c>
      <c r="B131" s="19" t="str">
        <f aca="false">'4 Mock cobas'!A11</f>
        <v>CB-26-8808</v>
      </c>
      <c r="C131" s="19" t="str">
        <f aca="false">'4 Mock cobas'!B11</f>
        <v>P-0129</v>
      </c>
      <c r="D131" s="19"/>
      <c r="E131" s="19"/>
      <c r="F131" s="19"/>
      <c r="G131" s="19"/>
      <c r="H131" s="19"/>
      <c r="I131" s="19" t="str">
        <f aca="false">IF('4 Mock cobas'!F11="Invalid","Invalid",IF('4 Mock cobas'!C11="POS","Positif","Negatif"))</f>
        <v>Invalid</v>
      </c>
      <c r="J131" s="19" t="str">
        <f aca="false">IF('4 Mock cobas'!F11="Invalid","Invalid",IF('4 Mock cobas'!D11="POS","Positif","Negatif"))</f>
        <v>Invalid</v>
      </c>
      <c r="K131" s="19" t="str">
        <f aca="false">IF('4 Mock cobas'!F11="Invalid","Invalid",IF('4 Mock cobas'!E11="POS","Positif","Negatif"))</f>
        <v>Invalid</v>
      </c>
      <c r="L131" s="19" t="str">
        <f aca="false">IF('4 Mock cobas'!F11="Valid","Ya","Tidak")</f>
        <v>Tidak</v>
      </c>
      <c r="M131" s="19" t="str">
        <f aca="false">IF(L131="Tidak","Invalid",IF(OR(I131="Positif",J131="Positif"),"Positif 16/18",IF(K131="Positif","Positif lain","Negatif")))</f>
        <v>Invalid</v>
      </c>
      <c r="N131" s="24" t="str">
        <f aca="false">"Perlu cek"</f>
        <v>Perlu cek</v>
      </c>
      <c r="O131" s="25" t="n">
        <f aca="false">'4 Mock cobas'!I11</f>
        <v>46312</v>
      </c>
      <c r="P131" s="19" t="s">
        <v>772</v>
      </c>
    </row>
    <row r="132" customFormat="false" ht="15" hidden="false" customHeight="true" outlineLevel="0" collapsed="false">
      <c r="A132" s="27" t="s">
        <v>771</v>
      </c>
      <c r="B132" s="19" t="str">
        <f aca="false">'4 Mock cobas'!A12</f>
        <v>CB-26-8809</v>
      </c>
      <c r="C132" s="19" t="str">
        <f aca="false">'4 Mock cobas'!B12</f>
        <v>P-0130</v>
      </c>
      <c r="D132" s="19"/>
      <c r="E132" s="19"/>
      <c r="F132" s="19"/>
      <c r="G132" s="19"/>
      <c r="H132" s="19"/>
      <c r="I132" s="19" t="str">
        <f aca="false">IF('4 Mock cobas'!F12="Invalid","Invalid",IF('4 Mock cobas'!C12="POS","Positif","Negatif"))</f>
        <v>Negatif</v>
      </c>
      <c r="J132" s="19" t="str">
        <f aca="false">IF('4 Mock cobas'!F12="Invalid","Invalid",IF('4 Mock cobas'!D12="POS","Positif","Negatif"))</f>
        <v>Negatif</v>
      </c>
      <c r="K132" s="19" t="str">
        <f aca="false">IF('4 Mock cobas'!F12="Invalid","Invalid",IF('4 Mock cobas'!E12="POS","Positif","Negatif"))</f>
        <v>Negatif</v>
      </c>
      <c r="L132" s="19" t="str">
        <f aca="false">IF('4 Mock cobas'!F12="Valid","Ya","Tidak")</f>
        <v>Ya</v>
      </c>
      <c r="M132" s="19" t="str">
        <f aca="false">IF(L132="Tidak","Invalid",IF(OR(I132="Positif",J132="Positif"),"Positif 16/18",IF(K132="Positif","Positif lain","Negatif")))</f>
        <v>Negatif</v>
      </c>
      <c r="N132" s="24" t="str">
        <f aca="false">"Perlu cek"</f>
        <v>Perlu cek</v>
      </c>
      <c r="O132" s="25" t="n">
        <f aca="false">'4 Mock cobas'!I12</f>
        <v>46309</v>
      </c>
      <c r="P132" s="19" t="s">
        <v>772</v>
      </c>
    </row>
    <row r="133" customFormat="false" ht="15" hidden="false" customHeight="true" outlineLevel="0" collapsed="false">
      <c r="A133" s="27" t="s">
        <v>771</v>
      </c>
      <c r="B133" s="19" t="str">
        <f aca="false">'4 Mock cobas'!A13</f>
        <v>CB-26-8810</v>
      </c>
      <c r="C133" s="19" t="str">
        <f aca="false">'4 Mock cobas'!B13</f>
        <v>P-0131</v>
      </c>
      <c r="D133" s="19"/>
      <c r="E133" s="19"/>
      <c r="F133" s="19"/>
      <c r="G133" s="19"/>
      <c r="H133" s="19"/>
      <c r="I133" s="19" t="str">
        <f aca="false">IF('4 Mock cobas'!F13="Invalid","Invalid",IF('4 Mock cobas'!C13="POS","Positif","Negatif"))</f>
        <v>Negatif</v>
      </c>
      <c r="J133" s="19" t="str">
        <f aca="false">IF('4 Mock cobas'!F13="Invalid","Invalid",IF('4 Mock cobas'!D13="POS","Positif","Negatif"))</f>
        <v>Negatif</v>
      </c>
      <c r="K133" s="19" t="str">
        <f aca="false">IF('4 Mock cobas'!F13="Invalid","Invalid",IF('4 Mock cobas'!E13="POS","Positif","Negatif"))</f>
        <v>Negatif</v>
      </c>
      <c r="L133" s="19" t="str">
        <f aca="false">IF('4 Mock cobas'!F13="Valid","Ya","Tidak")</f>
        <v>Ya</v>
      </c>
      <c r="M133" s="19" t="str">
        <f aca="false">IF(L133="Tidak","Invalid",IF(OR(I133="Positif",J133="Positif"),"Positif 16/18",IF(K133="Positif","Positif lain","Negatif")))</f>
        <v>Negatif</v>
      </c>
      <c r="N133" s="24" t="str">
        <f aca="false">"Perlu cek"</f>
        <v>Perlu cek</v>
      </c>
      <c r="O133" s="25" t="n">
        <f aca="false">'4 Mock cobas'!I13</f>
        <v>46310</v>
      </c>
      <c r="P133" s="19" t="s">
        <v>772</v>
      </c>
    </row>
    <row r="134" customFormat="false" ht="15" hidden="false" customHeight="true" outlineLevel="0" collapsed="false">
      <c r="A134" s="27" t="s">
        <v>771</v>
      </c>
      <c r="B134" s="19" t="str">
        <f aca="false">'4 Mock cobas'!A14</f>
        <v>CB-26-8811</v>
      </c>
      <c r="C134" s="19" t="str">
        <f aca="false">'4 Mock cobas'!B14</f>
        <v>P-0132</v>
      </c>
      <c r="D134" s="19"/>
      <c r="E134" s="19"/>
      <c r="F134" s="19"/>
      <c r="G134" s="19"/>
      <c r="H134" s="19"/>
      <c r="I134" s="19" t="str">
        <f aca="false">IF('4 Mock cobas'!F14="Invalid","Invalid",IF('4 Mock cobas'!C14="POS","Positif","Negatif"))</f>
        <v>Negatif</v>
      </c>
      <c r="J134" s="19" t="str">
        <f aca="false">IF('4 Mock cobas'!F14="Invalid","Invalid",IF('4 Mock cobas'!D14="POS","Positif","Negatif"))</f>
        <v>Negatif</v>
      </c>
      <c r="K134" s="19" t="str">
        <f aca="false">IF('4 Mock cobas'!F14="Invalid","Invalid",IF('4 Mock cobas'!E14="POS","Positif","Negatif"))</f>
        <v>Negatif</v>
      </c>
      <c r="L134" s="19" t="str">
        <f aca="false">IF('4 Mock cobas'!F14="Valid","Ya","Tidak")</f>
        <v>Ya</v>
      </c>
      <c r="M134" s="19" t="str">
        <f aca="false">IF(L134="Tidak","Invalid",IF(OR(I134="Positif",J134="Positif"),"Positif 16/18",IF(K134="Positif","Positif lain","Negatif")))</f>
        <v>Negatif</v>
      </c>
      <c r="N134" s="24" t="str">
        <f aca="false">"Perlu cek"</f>
        <v>Perlu cek</v>
      </c>
      <c r="O134" s="25" t="n">
        <f aca="false">'4 Mock cobas'!I14</f>
        <v>46315</v>
      </c>
      <c r="P134" s="19" t="s">
        <v>772</v>
      </c>
    </row>
    <row r="135" customFormat="false" ht="15" hidden="false" customHeight="true" outlineLevel="0" collapsed="false">
      <c r="A135" s="27" t="s">
        <v>771</v>
      </c>
      <c r="B135" s="19" t="str">
        <f aca="false">'4 Mock cobas'!A15</f>
        <v>CB-26-8812</v>
      </c>
      <c r="C135" s="19" t="str">
        <f aca="false">'4 Mock cobas'!B15</f>
        <v>P-0133</v>
      </c>
      <c r="D135" s="19"/>
      <c r="E135" s="19"/>
      <c r="F135" s="19"/>
      <c r="G135" s="19"/>
      <c r="H135" s="19"/>
      <c r="I135" s="19" t="str">
        <f aca="false">IF('4 Mock cobas'!F15="Invalid","Invalid",IF('4 Mock cobas'!C15="POS","Positif","Negatif"))</f>
        <v>Negatif</v>
      </c>
      <c r="J135" s="19" t="str">
        <f aca="false">IF('4 Mock cobas'!F15="Invalid","Invalid",IF('4 Mock cobas'!D15="POS","Positif","Negatif"))</f>
        <v>Negatif</v>
      </c>
      <c r="K135" s="19" t="str">
        <f aca="false">IF('4 Mock cobas'!F15="Invalid","Invalid",IF('4 Mock cobas'!E15="POS","Positif","Negatif"))</f>
        <v>Negatif</v>
      </c>
      <c r="L135" s="19" t="str">
        <f aca="false">IF('4 Mock cobas'!F15="Valid","Ya","Tidak")</f>
        <v>Ya</v>
      </c>
      <c r="M135" s="19" t="str">
        <f aca="false">IF(L135="Tidak","Invalid",IF(OR(I135="Positif",J135="Positif"),"Positif 16/18",IF(K135="Positif","Positif lain","Negatif")))</f>
        <v>Negatif</v>
      </c>
      <c r="N135" s="24" t="str">
        <f aca="false">"Perlu cek"</f>
        <v>Perlu cek</v>
      </c>
      <c r="O135" s="25" t="n">
        <f aca="false">'4 Mock cobas'!I15</f>
        <v>46310</v>
      </c>
      <c r="P135" s="19" t="s">
        <v>772</v>
      </c>
    </row>
    <row r="136" customFormat="false" ht="15" hidden="false" customHeight="true" outlineLevel="0" collapsed="false">
      <c r="A136" s="27" t="s">
        <v>771</v>
      </c>
      <c r="B136" s="19" t="str">
        <f aca="false">'4 Mock cobas'!A16</f>
        <v>CB-26-8813</v>
      </c>
      <c r="C136" s="19" t="str">
        <f aca="false">'4 Mock cobas'!B16</f>
        <v>P-0134</v>
      </c>
      <c r="D136" s="19"/>
      <c r="E136" s="19"/>
      <c r="F136" s="19"/>
      <c r="G136" s="19"/>
      <c r="H136" s="19"/>
      <c r="I136" s="19" t="str">
        <f aca="false">IF('4 Mock cobas'!F16="Invalid","Invalid",IF('4 Mock cobas'!C16="POS","Positif","Negatif"))</f>
        <v>Invalid</v>
      </c>
      <c r="J136" s="19" t="str">
        <f aca="false">IF('4 Mock cobas'!F16="Invalid","Invalid",IF('4 Mock cobas'!D16="POS","Positif","Negatif"))</f>
        <v>Invalid</v>
      </c>
      <c r="K136" s="19" t="str">
        <f aca="false">IF('4 Mock cobas'!F16="Invalid","Invalid",IF('4 Mock cobas'!E16="POS","Positif","Negatif"))</f>
        <v>Invalid</v>
      </c>
      <c r="L136" s="19" t="str">
        <f aca="false">IF('4 Mock cobas'!F16="Valid","Ya","Tidak")</f>
        <v>Tidak</v>
      </c>
      <c r="M136" s="19" t="str">
        <f aca="false">IF(L136="Tidak","Invalid",IF(OR(I136="Positif",J136="Positif"),"Positif 16/18",IF(K136="Positif","Positif lain","Negatif")))</f>
        <v>Invalid</v>
      </c>
      <c r="N136" s="24" t="str">
        <f aca="false">"Perlu cek"</f>
        <v>Perlu cek</v>
      </c>
      <c r="O136" s="25" t="n">
        <f aca="false">'4 Mock cobas'!I16</f>
        <v>46309</v>
      </c>
      <c r="P136" s="19" t="s">
        <v>772</v>
      </c>
    </row>
    <row r="137" customFormat="false" ht="15" hidden="false" customHeight="true" outlineLevel="0" collapsed="false">
      <c r="A137" s="27" t="s">
        <v>771</v>
      </c>
      <c r="B137" s="19" t="str">
        <f aca="false">'4 Mock cobas'!A17</f>
        <v>CB-26-8814</v>
      </c>
      <c r="C137" s="19" t="str">
        <f aca="false">'4 Mock cobas'!B17</f>
        <v>P-0135</v>
      </c>
      <c r="D137" s="19"/>
      <c r="E137" s="19"/>
      <c r="F137" s="19"/>
      <c r="G137" s="19"/>
      <c r="H137" s="19"/>
      <c r="I137" s="19" t="str">
        <f aca="false">IF('4 Mock cobas'!F17="Invalid","Invalid",IF('4 Mock cobas'!C17="POS","Positif","Negatif"))</f>
        <v>Negatif</v>
      </c>
      <c r="J137" s="19" t="str">
        <f aca="false">IF('4 Mock cobas'!F17="Invalid","Invalid",IF('4 Mock cobas'!D17="POS","Positif","Negatif"))</f>
        <v>Negatif</v>
      </c>
      <c r="K137" s="19" t="str">
        <f aca="false">IF('4 Mock cobas'!F17="Invalid","Invalid",IF('4 Mock cobas'!E17="POS","Positif","Negatif"))</f>
        <v>Negatif</v>
      </c>
      <c r="L137" s="19" t="str">
        <f aca="false">IF('4 Mock cobas'!F17="Valid","Ya","Tidak")</f>
        <v>Ya</v>
      </c>
      <c r="M137" s="19" t="str">
        <f aca="false">IF(L137="Tidak","Invalid",IF(OR(I137="Positif",J137="Positif"),"Positif 16/18",IF(K137="Positif","Positif lain","Negatif")))</f>
        <v>Negatif</v>
      </c>
      <c r="N137" s="24" t="str">
        <f aca="false">"Perlu cek"</f>
        <v>Perlu cek</v>
      </c>
      <c r="O137" s="25" t="n">
        <f aca="false">'4 Mock cobas'!I17</f>
        <v>46308</v>
      </c>
      <c r="P137" s="19" t="s">
        <v>772</v>
      </c>
    </row>
    <row r="138" customFormat="false" ht="15" hidden="false" customHeight="true" outlineLevel="0" collapsed="false">
      <c r="A138" s="27" t="s">
        <v>771</v>
      </c>
      <c r="B138" s="19" t="str">
        <f aca="false">'4 Mock cobas'!A18</f>
        <v>CB-26-8815</v>
      </c>
      <c r="C138" s="19" t="str">
        <f aca="false">'4 Mock cobas'!B18</f>
        <v>P-0136</v>
      </c>
      <c r="D138" s="19"/>
      <c r="E138" s="19"/>
      <c r="F138" s="19"/>
      <c r="G138" s="19"/>
      <c r="H138" s="19"/>
      <c r="I138" s="19" t="str">
        <f aca="false">IF('4 Mock cobas'!F18="Invalid","Invalid",IF('4 Mock cobas'!C18="POS","Positif","Negatif"))</f>
        <v>Negatif</v>
      </c>
      <c r="J138" s="19" t="str">
        <f aca="false">IF('4 Mock cobas'!F18="Invalid","Invalid",IF('4 Mock cobas'!D18="POS","Positif","Negatif"))</f>
        <v>Negatif</v>
      </c>
      <c r="K138" s="19" t="str">
        <f aca="false">IF('4 Mock cobas'!F18="Invalid","Invalid",IF('4 Mock cobas'!E18="POS","Positif","Negatif"))</f>
        <v>Negatif</v>
      </c>
      <c r="L138" s="19" t="str">
        <f aca="false">IF('4 Mock cobas'!F18="Valid","Ya","Tidak")</f>
        <v>Ya</v>
      </c>
      <c r="M138" s="19" t="str">
        <f aca="false">IF(L138="Tidak","Invalid",IF(OR(I138="Positif",J138="Positif"),"Positif 16/18",IF(K138="Positif","Positif lain","Negatif")))</f>
        <v>Negatif</v>
      </c>
      <c r="N138" s="24" t="str">
        <f aca="false">"Perlu cek"</f>
        <v>Perlu cek</v>
      </c>
      <c r="O138" s="25" t="n">
        <f aca="false">'4 Mock cobas'!I18</f>
        <v>46304</v>
      </c>
      <c r="P138" s="19" t="s">
        <v>772</v>
      </c>
    </row>
    <row r="139" customFormat="false" ht="15" hidden="false" customHeight="true" outlineLevel="0" collapsed="false">
      <c r="A139" s="27" t="s">
        <v>771</v>
      </c>
      <c r="B139" s="19" t="str">
        <f aca="false">'4 Mock cobas'!A19</f>
        <v>CB-26-8816</v>
      </c>
      <c r="C139" s="19" t="str">
        <f aca="false">'4 Mock cobas'!B19</f>
        <v>P-0137</v>
      </c>
      <c r="D139" s="19"/>
      <c r="E139" s="19"/>
      <c r="F139" s="19"/>
      <c r="G139" s="19"/>
      <c r="H139" s="19"/>
      <c r="I139" s="19" t="str">
        <f aca="false">IF('4 Mock cobas'!F19="Invalid","Invalid",IF('4 Mock cobas'!C19="POS","Positif","Negatif"))</f>
        <v>Negatif</v>
      </c>
      <c r="J139" s="19" t="str">
        <f aca="false">IF('4 Mock cobas'!F19="Invalid","Invalid",IF('4 Mock cobas'!D19="POS","Positif","Negatif"))</f>
        <v>Positif</v>
      </c>
      <c r="K139" s="19" t="str">
        <f aca="false">IF('4 Mock cobas'!F19="Invalid","Invalid",IF('4 Mock cobas'!E19="POS","Positif","Negatif"))</f>
        <v>Negatif</v>
      </c>
      <c r="L139" s="19" t="str">
        <f aca="false">IF('4 Mock cobas'!F19="Valid","Ya","Tidak")</f>
        <v>Ya</v>
      </c>
      <c r="M139" s="19" t="str">
        <f aca="false">IF(L139="Tidak","Invalid",IF(OR(I139="Positif",J139="Positif"),"Positif 16/18",IF(K139="Positif","Positif lain","Negatif")))</f>
        <v>Positif 16/18</v>
      </c>
      <c r="N139" s="24" t="str">
        <f aca="false">"Perlu cek"</f>
        <v>Perlu cek</v>
      </c>
      <c r="O139" s="25" t="n">
        <f aca="false">'4 Mock cobas'!I19</f>
        <v>46311</v>
      </c>
      <c r="P139" s="19" t="s">
        <v>772</v>
      </c>
    </row>
    <row r="140" customFormat="false" ht="15" hidden="false" customHeight="true" outlineLevel="0" collapsed="false">
      <c r="A140" s="27" t="s">
        <v>771</v>
      </c>
      <c r="B140" s="19" t="str">
        <f aca="false">'4 Mock cobas'!A20</f>
        <v>CB-26-8817</v>
      </c>
      <c r="C140" s="19" t="str">
        <f aca="false">'4 Mock cobas'!B20</f>
        <v>P-0138</v>
      </c>
      <c r="D140" s="19"/>
      <c r="E140" s="19"/>
      <c r="F140" s="19"/>
      <c r="G140" s="19"/>
      <c r="H140" s="19"/>
      <c r="I140" s="19" t="str">
        <f aca="false">IF('4 Mock cobas'!F20="Invalid","Invalid",IF('4 Mock cobas'!C20="POS","Positif","Negatif"))</f>
        <v>Negatif</v>
      </c>
      <c r="J140" s="19" t="str">
        <f aca="false">IF('4 Mock cobas'!F20="Invalid","Invalid",IF('4 Mock cobas'!D20="POS","Positif","Negatif"))</f>
        <v>Negatif</v>
      </c>
      <c r="K140" s="19" t="str">
        <f aca="false">IF('4 Mock cobas'!F20="Invalid","Invalid",IF('4 Mock cobas'!E20="POS","Positif","Negatif"))</f>
        <v>Negatif</v>
      </c>
      <c r="L140" s="19" t="str">
        <f aca="false">IF('4 Mock cobas'!F20="Valid","Ya","Tidak")</f>
        <v>Ya</v>
      </c>
      <c r="M140" s="19" t="str">
        <f aca="false">IF(L140="Tidak","Invalid",IF(OR(I140="Positif",J140="Positif"),"Positif 16/18",IF(K140="Positif","Positif lain","Negatif")))</f>
        <v>Negatif</v>
      </c>
      <c r="N140" s="24" t="str">
        <f aca="false">"Perlu cek"</f>
        <v>Perlu cek</v>
      </c>
      <c r="O140" s="25" t="n">
        <f aca="false">'4 Mock cobas'!I20</f>
        <v>46315</v>
      </c>
      <c r="P140" s="19" t="s">
        <v>772</v>
      </c>
    </row>
    <row r="141" customFormat="false" ht="15" hidden="false" customHeight="true" outlineLevel="0" collapsed="false">
      <c r="A141" s="27" t="s">
        <v>771</v>
      </c>
      <c r="B141" s="19" t="str">
        <f aca="false">'4 Mock cobas'!A21</f>
        <v>CB-26-8818</v>
      </c>
      <c r="C141" s="19" t="str">
        <f aca="false">'4 Mock cobas'!B21</f>
        <v>P-0139</v>
      </c>
      <c r="D141" s="19"/>
      <c r="E141" s="19"/>
      <c r="F141" s="19"/>
      <c r="G141" s="19"/>
      <c r="H141" s="19"/>
      <c r="I141" s="19" t="str">
        <f aca="false">IF('4 Mock cobas'!F21="Invalid","Invalid",IF('4 Mock cobas'!C21="POS","Positif","Negatif"))</f>
        <v>Negatif</v>
      </c>
      <c r="J141" s="19" t="str">
        <f aca="false">IF('4 Mock cobas'!F21="Invalid","Invalid",IF('4 Mock cobas'!D21="POS","Positif","Negatif"))</f>
        <v>Negatif</v>
      </c>
      <c r="K141" s="19" t="str">
        <f aca="false">IF('4 Mock cobas'!F21="Invalid","Invalid",IF('4 Mock cobas'!E21="POS","Positif","Negatif"))</f>
        <v>Negatif</v>
      </c>
      <c r="L141" s="19" t="str">
        <f aca="false">IF('4 Mock cobas'!F21="Valid","Ya","Tidak")</f>
        <v>Ya</v>
      </c>
      <c r="M141" s="19" t="str">
        <f aca="false">IF(L141="Tidak","Invalid",IF(OR(I141="Positif",J141="Positif"),"Positif 16/18",IF(K141="Positif","Positif lain","Negatif")))</f>
        <v>Negatif</v>
      </c>
      <c r="N141" s="24" t="str">
        <f aca="false">"Perlu cek"</f>
        <v>Perlu cek</v>
      </c>
      <c r="O141" s="25" t="n">
        <f aca="false">'4 Mock cobas'!I21</f>
        <v>46306</v>
      </c>
      <c r="P141" s="19" t="s">
        <v>772</v>
      </c>
    </row>
    <row r="142" customFormat="false" ht="15" hidden="false" customHeight="true" outlineLevel="0" collapsed="false">
      <c r="A142" s="27" t="s">
        <v>771</v>
      </c>
      <c r="B142" s="19" t="str">
        <f aca="false">'4 Mock cobas'!A22</f>
        <v>CB-26-8819</v>
      </c>
      <c r="C142" s="19" t="str">
        <f aca="false">'4 Mock cobas'!B22</f>
        <v>P-0140</v>
      </c>
      <c r="D142" s="19"/>
      <c r="E142" s="19"/>
      <c r="F142" s="19"/>
      <c r="G142" s="19"/>
      <c r="H142" s="19"/>
      <c r="I142" s="19" t="str">
        <f aca="false">IF('4 Mock cobas'!F22="Invalid","Invalid",IF('4 Mock cobas'!C22="POS","Positif","Negatif"))</f>
        <v>Negatif</v>
      </c>
      <c r="J142" s="19" t="str">
        <f aca="false">IF('4 Mock cobas'!F22="Invalid","Invalid",IF('4 Mock cobas'!D22="POS","Positif","Negatif"))</f>
        <v>Negatif</v>
      </c>
      <c r="K142" s="19" t="str">
        <f aca="false">IF('4 Mock cobas'!F22="Invalid","Invalid",IF('4 Mock cobas'!E22="POS","Positif","Negatif"))</f>
        <v>Negatif</v>
      </c>
      <c r="L142" s="19" t="str">
        <f aca="false">IF('4 Mock cobas'!F22="Valid","Ya","Tidak")</f>
        <v>Ya</v>
      </c>
      <c r="M142" s="19" t="str">
        <f aca="false">IF(L142="Tidak","Invalid",IF(OR(I142="Positif",J142="Positif"),"Positif 16/18",IF(K142="Positif","Positif lain","Negatif")))</f>
        <v>Negatif</v>
      </c>
      <c r="N142" s="24" t="str">
        <f aca="false">"Perlu cek"</f>
        <v>Perlu cek</v>
      </c>
      <c r="O142" s="25" t="n">
        <f aca="false">'4 Mock cobas'!I22</f>
        <v>46308</v>
      </c>
      <c r="P142" s="19" t="s">
        <v>772</v>
      </c>
    </row>
    <row r="143" customFormat="false" ht="15" hidden="false" customHeight="true" outlineLevel="0" collapsed="false">
      <c r="A143" s="27" t="s">
        <v>771</v>
      </c>
      <c r="B143" s="19" t="str">
        <f aca="false">'4 Mock cobas'!A23</f>
        <v>CB-26-8820</v>
      </c>
      <c r="C143" s="19" t="str">
        <f aca="false">'4 Mock cobas'!B23</f>
        <v>P-0141</v>
      </c>
      <c r="D143" s="19"/>
      <c r="E143" s="19"/>
      <c r="F143" s="19"/>
      <c r="G143" s="19"/>
      <c r="H143" s="19"/>
      <c r="I143" s="19" t="str">
        <f aca="false">IF('4 Mock cobas'!F23="Invalid","Invalid",IF('4 Mock cobas'!C23="POS","Positif","Negatif"))</f>
        <v>Negatif</v>
      </c>
      <c r="J143" s="19" t="str">
        <f aca="false">IF('4 Mock cobas'!F23="Invalid","Invalid",IF('4 Mock cobas'!D23="POS","Positif","Negatif"))</f>
        <v>Negatif</v>
      </c>
      <c r="K143" s="19" t="str">
        <f aca="false">IF('4 Mock cobas'!F23="Invalid","Invalid",IF('4 Mock cobas'!E23="POS","Positif","Negatif"))</f>
        <v>Negatif</v>
      </c>
      <c r="L143" s="19" t="str">
        <f aca="false">IF('4 Mock cobas'!F23="Valid","Ya","Tidak")</f>
        <v>Ya</v>
      </c>
      <c r="M143" s="19" t="str">
        <f aca="false">IF(L143="Tidak","Invalid",IF(OR(I143="Positif",J143="Positif"),"Positif 16/18",IF(K143="Positif","Positif lain","Negatif")))</f>
        <v>Negatif</v>
      </c>
      <c r="N143" s="24" t="str">
        <f aca="false">"Perlu cek"</f>
        <v>Perlu cek</v>
      </c>
      <c r="O143" s="25" t="n">
        <f aca="false">'4 Mock cobas'!I23</f>
        <v>46310</v>
      </c>
      <c r="P143" s="19" t="s">
        <v>772</v>
      </c>
    </row>
    <row r="144" customFormat="false" ht="15" hidden="false" customHeight="true" outlineLevel="0" collapsed="false">
      <c r="A144" s="27" t="s">
        <v>771</v>
      </c>
      <c r="B144" s="19" t="str">
        <f aca="false">'4 Mock cobas'!A24</f>
        <v>CB-26-8821</v>
      </c>
      <c r="C144" s="19" t="str">
        <f aca="false">'4 Mock cobas'!B24</f>
        <v>P-0142</v>
      </c>
      <c r="D144" s="19"/>
      <c r="E144" s="19"/>
      <c r="F144" s="19"/>
      <c r="G144" s="19"/>
      <c r="H144" s="19"/>
      <c r="I144" s="19" t="str">
        <f aca="false">IF('4 Mock cobas'!F24="Invalid","Invalid",IF('4 Mock cobas'!C24="POS","Positif","Negatif"))</f>
        <v>Negatif</v>
      </c>
      <c r="J144" s="19" t="str">
        <f aca="false">IF('4 Mock cobas'!F24="Invalid","Invalid",IF('4 Mock cobas'!D24="POS","Positif","Negatif"))</f>
        <v>Negatif</v>
      </c>
      <c r="K144" s="19" t="str">
        <f aca="false">IF('4 Mock cobas'!F24="Invalid","Invalid",IF('4 Mock cobas'!E24="POS","Positif","Negatif"))</f>
        <v>Positif</v>
      </c>
      <c r="L144" s="19" t="str">
        <f aca="false">IF('4 Mock cobas'!F24="Valid","Ya","Tidak")</f>
        <v>Ya</v>
      </c>
      <c r="M144" s="19" t="str">
        <f aca="false">IF(L144="Tidak","Invalid",IF(OR(I144="Positif",J144="Positif"),"Positif 16/18",IF(K144="Positif","Positif lain","Negatif")))</f>
        <v>Positif lain</v>
      </c>
      <c r="N144" s="24" t="str">
        <f aca="false">"Perlu cek"</f>
        <v>Perlu cek</v>
      </c>
      <c r="O144" s="25" t="n">
        <f aca="false">'4 Mock cobas'!I24</f>
        <v>46313</v>
      </c>
      <c r="P144" s="19" t="s">
        <v>772</v>
      </c>
    </row>
    <row r="145" customFormat="false" ht="15" hidden="false" customHeight="true" outlineLevel="0" collapsed="false">
      <c r="A145" s="27" t="s">
        <v>771</v>
      </c>
      <c r="B145" s="19" t="str">
        <f aca="false">'4 Mock cobas'!A25</f>
        <v>CB-26-8822</v>
      </c>
      <c r="C145" s="19" t="str">
        <f aca="false">'4 Mock cobas'!B25</f>
        <v>P-0143</v>
      </c>
      <c r="D145" s="19"/>
      <c r="E145" s="19"/>
      <c r="F145" s="19"/>
      <c r="G145" s="19"/>
      <c r="H145" s="19"/>
      <c r="I145" s="19" t="str">
        <f aca="false">IF('4 Mock cobas'!F25="Invalid","Invalid",IF('4 Mock cobas'!C25="POS","Positif","Negatif"))</f>
        <v>Negatif</v>
      </c>
      <c r="J145" s="19" t="str">
        <f aca="false">IF('4 Mock cobas'!F25="Invalid","Invalid",IF('4 Mock cobas'!D25="POS","Positif","Negatif"))</f>
        <v>Negatif</v>
      </c>
      <c r="K145" s="19" t="str">
        <f aca="false">IF('4 Mock cobas'!F25="Invalid","Invalid",IF('4 Mock cobas'!E25="POS","Positif","Negatif"))</f>
        <v>Negatif</v>
      </c>
      <c r="L145" s="19" t="str">
        <f aca="false">IF('4 Mock cobas'!F25="Valid","Ya","Tidak")</f>
        <v>Ya</v>
      </c>
      <c r="M145" s="19" t="str">
        <f aca="false">IF(L145="Tidak","Invalid",IF(OR(I145="Positif",J145="Positif"),"Positif 16/18",IF(K145="Positif","Positif lain","Negatif")))</f>
        <v>Negatif</v>
      </c>
      <c r="N145" s="24" t="str">
        <f aca="false">"Perlu cek"</f>
        <v>Perlu cek</v>
      </c>
      <c r="O145" s="25" t="n">
        <f aca="false">'4 Mock cobas'!I25</f>
        <v>46313</v>
      </c>
      <c r="P145" s="19" t="s">
        <v>772</v>
      </c>
    </row>
    <row r="146" customFormat="false" ht="15" hidden="false" customHeight="true" outlineLevel="0" collapsed="false">
      <c r="A146" s="27" t="s">
        <v>771</v>
      </c>
      <c r="B146" s="19" t="str">
        <f aca="false">'4 Mock cobas'!A26</f>
        <v>CB-26-8823</v>
      </c>
      <c r="C146" s="19" t="str">
        <f aca="false">'4 Mock cobas'!B26</f>
        <v>P-0144</v>
      </c>
      <c r="D146" s="19"/>
      <c r="E146" s="19"/>
      <c r="F146" s="19"/>
      <c r="G146" s="19"/>
      <c r="H146" s="19"/>
      <c r="I146" s="19" t="str">
        <f aca="false">IF('4 Mock cobas'!F26="Invalid","Invalid",IF('4 Mock cobas'!C26="POS","Positif","Negatif"))</f>
        <v>Negatif</v>
      </c>
      <c r="J146" s="19" t="str">
        <f aca="false">IF('4 Mock cobas'!F26="Invalid","Invalid",IF('4 Mock cobas'!D26="POS","Positif","Negatif"))</f>
        <v>Negatif</v>
      </c>
      <c r="K146" s="19" t="str">
        <f aca="false">IF('4 Mock cobas'!F26="Invalid","Invalid",IF('4 Mock cobas'!E26="POS","Positif","Negatif"))</f>
        <v>Negatif</v>
      </c>
      <c r="L146" s="19" t="str">
        <f aca="false">IF('4 Mock cobas'!F26="Valid","Ya","Tidak")</f>
        <v>Ya</v>
      </c>
      <c r="M146" s="19" t="str">
        <f aca="false">IF(L146="Tidak","Invalid",IF(OR(I146="Positif",J146="Positif"),"Positif 16/18",IF(K146="Positif","Positif lain","Negatif")))</f>
        <v>Negatif</v>
      </c>
      <c r="N146" s="24" t="str">
        <f aca="false">"Perlu cek"</f>
        <v>Perlu cek</v>
      </c>
      <c r="O146" s="25" t="n">
        <f aca="false">'4 Mock cobas'!I26</f>
        <v>46307</v>
      </c>
      <c r="P146" s="19" t="s">
        <v>772</v>
      </c>
    </row>
    <row r="147" customFormat="false" ht="15" hidden="false" customHeight="true" outlineLevel="0" collapsed="false">
      <c r="A147" s="27" t="s">
        <v>771</v>
      </c>
      <c r="B147" s="19" t="str">
        <f aca="false">'4 Mock cobas'!A27</f>
        <v>CB-26-8824</v>
      </c>
      <c r="C147" s="19" t="str">
        <f aca="false">'4 Mock cobas'!B27</f>
        <v>P-0145</v>
      </c>
      <c r="D147" s="19"/>
      <c r="E147" s="19"/>
      <c r="F147" s="19"/>
      <c r="G147" s="19"/>
      <c r="H147" s="19"/>
      <c r="I147" s="19" t="str">
        <f aca="false">IF('4 Mock cobas'!F27="Invalid","Invalid",IF('4 Mock cobas'!C27="POS","Positif","Negatif"))</f>
        <v>Negatif</v>
      </c>
      <c r="J147" s="19" t="str">
        <f aca="false">IF('4 Mock cobas'!F27="Invalid","Invalid",IF('4 Mock cobas'!D27="POS","Positif","Negatif"))</f>
        <v>Negatif</v>
      </c>
      <c r="K147" s="19" t="str">
        <f aca="false">IF('4 Mock cobas'!F27="Invalid","Invalid",IF('4 Mock cobas'!E27="POS","Positif","Negatif"))</f>
        <v>Positif</v>
      </c>
      <c r="L147" s="19" t="str">
        <f aca="false">IF('4 Mock cobas'!F27="Valid","Ya","Tidak")</f>
        <v>Ya</v>
      </c>
      <c r="M147" s="19" t="str">
        <f aca="false">IF(L147="Tidak","Invalid",IF(OR(I147="Positif",J147="Positif"),"Positif 16/18",IF(K147="Positif","Positif lain","Negatif")))</f>
        <v>Positif lain</v>
      </c>
      <c r="N147" s="24" t="str">
        <f aca="false">"Perlu cek"</f>
        <v>Perlu cek</v>
      </c>
      <c r="O147" s="25" t="n">
        <f aca="false">'4 Mock cobas'!I27</f>
        <v>46307</v>
      </c>
      <c r="P147" s="19" t="s">
        <v>772</v>
      </c>
    </row>
    <row r="148" customFormat="false" ht="15" hidden="false" customHeight="true" outlineLevel="0" collapsed="false">
      <c r="A148" s="27" t="s">
        <v>771</v>
      </c>
      <c r="B148" s="19" t="str">
        <f aca="false">'4 Mock cobas'!A28</f>
        <v>CB-26-8825</v>
      </c>
      <c r="C148" s="19" t="str">
        <f aca="false">'4 Mock cobas'!B28</f>
        <v>P-0146</v>
      </c>
      <c r="D148" s="19"/>
      <c r="E148" s="19"/>
      <c r="F148" s="19"/>
      <c r="G148" s="19"/>
      <c r="H148" s="19"/>
      <c r="I148" s="19" t="str">
        <f aca="false">IF('4 Mock cobas'!F28="Invalid","Invalid",IF('4 Mock cobas'!C28="POS","Positif","Negatif"))</f>
        <v>Negatif</v>
      </c>
      <c r="J148" s="19" t="str">
        <f aca="false">IF('4 Mock cobas'!F28="Invalid","Invalid",IF('4 Mock cobas'!D28="POS","Positif","Negatif"))</f>
        <v>Negatif</v>
      </c>
      <c r="K148" s="19" t="str">
        <f aca="false">IF('4 Mock cobas'!F28="Invalid","Invalid",IF('4 Mock cobas'!E28="POS","Positif","Negatif"))</f>
        <v>Negatif</v>
      </c>
      <c r="L148" s="19" t="str">
        <f aca="false">IF('4 Mock cobas'!F28="Valid","Ya","Tidak")</f>
        <v>Ya</v>
      </c>
      <c r="M148" s="19" t="str">
        <f aca="false">IF(L148="Tidak","Invalid",IF(OR(I148="Positif",J148="Positif"),"Positif 16/18",IF(K148="Positif","Positif lain","Negatif")))</f>
        <v>Negatif</v>
      </c>
      <c r="N148" s="24" t="str">
        <f aca="false">"Perlu cek"</f>
        <v>Perlu cek</v>
      </c>
      <c r="O148" s="25" t="n">
        <f aca="false">'4 Mock cobas'!I28</f>
        <v>46304</v>
      </c>
      <c r="P148" s="19" t="s">
        <v>772</v>
      </c>
    </row>
    <row r="149" customFormat="false" ht="15" hidden="false" customHeight="true" outlineLevel="0" collapsed="false">
      <c r="A149" s="27" t="s">
        <v>771</v>
      </c>
      <c r="B149" s="19" t="str">
        <f aca="false">'4 Mock cobas'!A29</f>
        <v>CB-26-8826</v>
      </c>
      <c r="C149" s="19" t="str">
        <f aca="false">'4 Mock cobas'!B29</f>
        <v>P-0147</v>
      </c>
      <c r="D149" s="19"/>
      <c r="E149" s="19"/>
      <c r="F149" s="19"/>
      <c r="G149" s="19"/>
      <c r="H149" s="19"/>
      <c r="I149" s="19" t="str">
        <f aca="false">IF('4 Mock cobas'!F29="Invalid","Invalid",IF('4 Mock cobas'!C29="POS","Positif","Negatif"))</f>
        <v>Negatif</v>
      </c>
      <c r="J149" s="19" t="str">
        <f aca="false">IF('4 Mock cobas'!F29="Invalid","Invalid",IF('4 Mock cobas'!D29="POS","Positif","Negatif"))</f>
        <v>Negatif</v>
      </c>
      <c r="K149" s="19" t="str">
        <f aca="false">IF('4 Mock cobas'!F29="Invalid","Invalid",IF('4 Mock cobas'!E29="POS","Positif","Negatif"))</f>
        <v>Negatif</v>
      </c>
      <c r="L149" s="19" t="str">
        <f aca="false">IF('4 Mock cobas'!F29="Valid","Ya","Tidak")</f>
        <v>Ya</v>
      </c>
      <c r="M149" s="19" t="str">
        <f aca="false">IF(L149="Tidak","Invalid",IF(OR(I149="Positif",J149="Positif"),"Positif 16/18",IF(K149="Positif","Positif lain","Negatif")))</f>
        <v>Negatif</v>
      </c>
      <c r="N149" s="24" t="str">
        <f aca="false">"Perlu cek"</f>
        <v>Perlu cek</v>
      </c>
      <c r="O149" s="25" t="n">
        <f aca="false">'4 Mock cobas'!I29</f>
        <v>46304</v>
      </c>
      <c r="P149" s="19" t="s">
        <v>772</v>
      </c>
    </row>
    <row r="150" customFormat="false" ht="15" hidden="false" customHeight="true" outlineLevel="0" collapsed="false">
      <c r="A150" s="27" t="s">
        <v>771</v>
      </c>
      <c r="B150" s="19" t="str">
        <f aca="false">'4 Mock cobas'!A30</f>
        <v>CB-26-8827</v>
      </c>
      <c r="C150" s="19" t="str">
        <f aca="false">'4 Mock cobas'!B30</f>
        <v>P-0148</v>
      </c>
      <c r="D150" s="19"/>
      <c r="E150" s="19"/>
      <c r="F150" s="19"/>
      <c r="G150" s="19"/>
      <c r="H150" s="19"/>
      <c r="I150" s="19" t="str">
        <f aca="false">IF('4 Mock cobas'!F30="Invalid","Invalid",IF('4 Mock cobas'!C30="POS","Positif","Negatif"))</f>
        <v>Negatif</v>
      </c>
      <c r="J150" s="19" t="str">
        <f aca="false">IF('4 Mock cobas'!F30="Invalid","Invalid",IF('4 Mock cobas'!D30="POS","Positif","Negatif"))</f>
        <v>Negatif</v>
      </c>
      <c r="K150" s="19" t="str">
        <f aca="false">IF('4 Mock cobas'!F30="Invalid","Invalid",IF('4 Mock cobas'!E30="POS","Positif","Negatif"))</f>
        <v>Positif</v>
      </c>
      <c r="L150" s="19" t="str">
        <f aca="false">IF('4 Mock cobas'!F30="Valid","Ya","Tidak")</f>
        <v>Ya</v>
      </c>
      <c r="M150" s="19" t="str">
        <f aca="false">IF(L150="Tidak","Invalid",IF(OR(I150="Positif",J150="Positif"),"Positif 16/18",IF(K150="Positif","Positif lain","Negatif")))</f>
        <v>Positif lain</v>
      </c>
      <c r="N150" s="24" t="str">
        <f aca="false">"Perlu cek"</f>
        <v>Perlu cek</v>
      </c>
      <c r="O150" s="25" t="n">
        <f aca="false">'4 Mock cobas'!I30</f>
        <v>46306</v>
      </c>
      <c r="P150" s="19" t="s">
        <v>772</v>
      </c>
    </row>
    <row r="151" customFormat="false" ht="15" hidden="false" customHeight="true" outlineLevel="0" collapsed="false">
      <c r="A151" s="27" t="s">
        <v>771</v>
      </c>
      <c r="B151" s="19" t="str">
        <f aca="false">'4 Mock cobas'!A31</f>
        <v>CB-26-8828</v>
      </c>
      <c r="C151" s="19" t="str">
        <f aca="false">'4 Mock cobas'!B31</f>
        <v>P-0149</v>
      </c>
      <c r="D151" s="19"/>
      <c r="E151" s="19"/>
      <c r="F151" s="19"/>
      <c r="G151" s="19"/>
      <c r="H151" s="19"/>
      <c r="I151" s="19" t="str">
        <f aca="false">IF('4 Mock cobas'!F31="Invalid","Invalid",IF('4 Mock cobas'!C31="POS","Positif","Negatif"))</f>
        <v>Negatif</v>
      </c>
      <c r="J151" s="19" t="str">
        <f aca="false">IF('4 Mock cobas'!F31="Invalid","Invalid",IF('4 Mock cobas'!D31="POS","Positif","Negatif"))</f>
        <v>Negatif</v>
      </c>
      <c r="K151" s="19" t="str">
        <f aca="false">IF('4 Mock cobas'!F31="Invalid","Invalid",IF('4 Mock cobas'!E31="POS","Positif","Negatif"))</f>
        <v>Negatif</v>
      </c>
      <c r="L151" s="19" t="str">
        <f aca="false">IF('4 Mock cobas'!F31="Valid","Ya","Tidak")</f>
        <v>Ya</v>
      </c>
      <c r="M151" s="19" t="str">
        <f aca="false">IF(L151="Tidak","Invalid",IF(OR(I151="Positif",J151="Positif"),"Positif 16/18",IF(K151="Positif","Positif lain","Negatif")))</f>
        <v>Negatif</v>
      </c>
      <c r="N151" s="24" t="str">
        <f aca="false">"Perlu cek"</f>
        <v>Perlu cek</v>
      </c>
      <c r="O151" s="25" t="n">
        <f aca="false">'4 Mock cobas'!I31</f>
        <v>46311</v>
      </c>
      <c r="P151" s="19" t="s">
        <v>772</v>
      </c>
    </row>
    <row r="152" customFormat="false" ht="15" hidden="false" customHeight="true" outlineLevel="0" collapsed="false">
      <c r="A152" s="27" t="s">
        <v>771</v>
      </c>
      <c r="B152" s="19" t="str">
        <f aca="false">'4 Mock cobas'!A32</f>
        <v>CB-26-8829</v>
      </c>
      <c r="C152" s="19" t="str">
        <f aca="false">'4 Mock cobas'!B32</f>
        <v>P-0150</v>
      </c>
      <c r="D152" s="19"/>
      <c r="E152" s="19"/>
      <c r="F152" s="19"/>
      <c r="G152" s="19"/>
      <c r="H152" s="19"/>
      <c r="I152" s="19" t="str">
        <f aca="false">IF('4 Mock cobas'!F32="Invalid","Invalid",IF('4 Mock cobas'!C32="POS","Positif","Negatif"))</f>
        <v>Negatif</v>
      </c>
      <c r="J152" s="19" t="str">
        <f aca="false">IF('4 Mock cobas'!F32="Invalid","Invalid",IF('4 Mock cobas'!D32="POS","Positif","Negatif"))</f>
        <v>Negatif</v>
      </c>
      <c r="K152" s="19" t="str">
        <f aca="false">IF('4 Mock cobas'!F32="Invalid","Invalid",IF('4 Mock cobas'!E32="POS","Positif","Negatif"))</f>
        <v>Negatif</v>
      </c>
      <c r="L152" s="19" t="str">
        <f aca="false">IF('4 Mock cobas'!F32="Valid","Ya","Tidak")</f>
        <v>Ya</v>
      </c>
      <c r="M152" s="19" t="str">
        <f aca="false">IF(L152="Tidak","Invalid",IF(OR(I152="Positif",J152="Positif"),"Positif 16/18",IF(K152="Positif","Positif lain","Negatif")))</f>
        <v>Negatif</v>
      </c>
      <c r="N152" s="24" t="str">
        <f aca="false">"Perlu cek"</f>
        <v>Perlu cek</v>
      </c>
      <c r="O152" s="25" t="n">
        <f aca="false">'4 Mock cobas'!I32</f>
        <v>46314</v>
      </c>
      <c r="P152" s="19" t="s">
        <v>772</v>
      </c>
    </row>
    <row r="153" customFormat="false" ht="15" hidden="false" customHeight="true" outlineLevel="0" collapsed="false">
      <c r="A153" s="27" t="s">
        <v>771</v>
      </c>
      <c r="B153" s="19" t="str">
        <f aca="false">'4 Mock cobas'!A33</f>
        <v>CB-26-8830</v>
      </c>
      <c r="C153" s="19" t="str">
        <f aca="false">'4 Mock cobas'!B33</f>
        <v>P-0151</v>
      </c>
      <c r="D153" s="19"/>
      <c r="E153" s="19"/>
      <c r="F153" s="19"/>
      <c r="G153" s="19"/>
      <c r="H153" s="19"/>
      <c r="I153" s="19" t="str">
        <f aca="false">IF('4 Mock cobas'!F33="Invalid","Invalid",IF('4 Mock cobas'!C33="POS","Positif","Negatif"))</f>
        <v>Negatif</v>
      </c>
      <c r="J153" s="19" t="str">
        <f aca="false">IF('4 Mock cobas'!F33="Invalid","Invalid",IF('4 Mock cobas'!D33="POS","Positif","Negatif"))</f>
        <v>Negatif</v>
      </c>
      <c r="K153" s="19" t="str">
        <f aca="false">IF('4 Mock cobas'!F33="Invalid","Invalid",IF('4 Mock cobas'!E33="POS","Positif","Negatif"))</f>
        <v>Negatif</v>
      </c>
      <c r="L153" s="19" t="str">
        <f aca="false">IF('4 Mock cobas'!F33="Valid","Ya","Tidak")</f>
        <v>Ya</v>
      </c>
      <c r="M153" s="19" t="str">
        <f aca="false">IF(L153="Tidak","Invalid",IF(OR(I153="Positif",J153="Positif"),"Positif 16/18",IF(K153="Positif","Positif lain","Negatif")))</f>
        <v>Negatif</v>
      </c>
      <c r="N153" s="24" t="str">
        <f aca="false">"Perlu cek"</f>
        <v>Perlu cek</v>
      </c>
      <c r="O153" s="25" t="n">
        <f aca="false">'4 Mock cobas'!I33</f>
        <v>46308</v>
      </c>
      <c r="P153" s="19" t="s">
        <v>772</v>
      </c>
    </row>
    <row r="154" customFormat="false" ht="15" hidden="false" customHeight="true" outlineLevel="0" collapsed="false">
      <c r="A154" s="27" t="s">
        <v>771</v>
      </c>
      <c r="B154" s="19" t="str">
        <f aca="false">'4 Mock cobas'!A34</f>
        <v>CB-26-8831</v>
      </c>
      <c r="C154" s="19" t="str">
        <f aca="false">'4 Mock cobas'!B34</f>
        <v>P-0152</v>
      </c>
      <c r="D154" s="19"/>
      <c r="E154" s="19"/>
      <c r="F154" s="19"/>
      <c r="G154" s="19"/>
      <c r="H154" s="19"/>
      <c r="I154" s="19" t="str">
        <f aca="false">IF('4 Mock cobas'!F34="Invalid","Invalid",IF('4 Mock cobas'!C34="POS","Positif","Negatif"))</f>
        <v>Negatif</v>
      </c>
      <c r="J154" s="19" t="str">
        <f aca="false">IF('4 Mock cobas'!F34="Invalid","Invalid",IF('4 Mock cobas'!D34="POS","Positif","Negatif"))</f>
        <v>Negatif</v>
      </c>
      <c r="K154" s="19" t="str">
        <f aca="false">IF('4 Mock cobas'!F34="Invalid","Invalid",IF('4 Mock cobas'!E34="POS","Positif","Negatif"))</f>
        <v>Negatif</v>
      </c>
      <c r="L154" s="19" t="str">
        <f aca="false">IF('4 Mock cobas'!F34="Valid","Ya","Tidak")</f>
        <v>Ya</v>
      </c>
      <c r="M154" s="19" t="str">
        <f aca="false">IF(L154="Tidak","Invalid",IF(OR(I154="Positif",J154="Positif"),"Positif 16/18",IF(K154="Positif","Positif lain","Negatif")))</f>
        <v>Negatif</v>
      </c>
      <c r="N154" s="24" t="str">
        <f aca="false">"Perlu cek"</f>
        <v>Perlu cek</v>
      </c>
      <c r="O154" s="25" t="n">
        <f aca="false">'4 Mock cobas'!I34</f>
        <v>46304</v>
      </c>
      <c r="P154" s="19" t="s">
        <v>772</v>
      </c>
    </row>
    <row r="155" customFormat="false" ht="15" hidden="false" customHeight="true" outlineLevel="0" collapsed="false">
      <c r="A155" s="27" t="s">
        <v>771</v>
      </c>
      <c r="B155" s="19" t="str">
        <f aca="false">'4 Mock cobas'!A35</f>
        <v>CB-26-8832</v>
      </c>
      <c r="C155" s="19" t="str">
        <f aca="false">'4 Mock cobas'!B35</f>
        <v>P-0153</v>
      </c>
      <c r="D155" s="19"/>
      <c r="E155" s="19"/>
      <c r="F155" s="19"/>
      <c r="G155" s="19"/>
      <c r="H155" s="19"/>
      <c r="I155" s="19" t="str">
        <f aca="false">IF('4 Mock cobas'!F35="Invalid","Invalid",IF('4 Mock cobas'!C35="POS","Positif","Negatif"))</f>
        <v>Negatif</v>
      </c>
      <c r="J155" s="19" t="str">
        <f aca="false">IF('4 Mock cobas'!F35="Invalid","Invalid",IF('4 Mock cobas'!D35="POS","Positif","Negatif"))</f>
        <v>Negatif</v>
      </c>
      <c r="K155" s="19" t="str">
        <f aca="false">IF('4 Mock cobas'!F35="Invalid","Invalid",IF('4 Mock cobas'!E35="POS","Positif","Negatif"))</f>
        <v>Negatif</v>
      </c>
      <c r="L155" s="19" t="str">
        <f aca="false">IF('4 Mock cobas'!F35="Valid","Ya","Tidak")</f>
        <v>Ya</v>
      </c>
      <c r="M155" s="19" t="str">
        <f aca="false">IF(L155="Tidak","Invalid",IF(OR(I155="Positif",J155="Positif"),"Positif 16/18",IF(K155="Positif","Positif lain","Negatif")))</f>
        <v>Negatif</v>
      </c>
      <c r="N155" s="24" t="str">
        <f aca="false">"Perlu cek"</f>
        <v>Perlu cek</v>
      </c>
      <c r="O155" s="25" t="n">
        <f aca="false">'4 Mock cobas'!I35</f>
        <v>46305</v>
      </c>
      <c r="P155" s="19" t="s">
        <v>772</v>
      </c>
    </row>
    <row r="156" customFormat="false" ht="15" hidden="false" customHeight="true" outlineLevel="0" collapsed="false">
      <c r="A156" s="27" t="s">
        <v>771</v>
      </c>
      <c r="B156" s="19" t="str">
        <f aca="false">'4 Mock cobas'!A36</f>
        <v>CB-26-8833</v>
      </c>
      <c r="C156" s="19" t="str">
        <f aca="false">'4 Mock cobas'!B36</f>
        <v>P-0154</v>
      </c>
      <c r="D156" s="19"/>
      <c r="E156" s="19"/>
      <c r="F156" s="19"/>
      <c r="G156" s="19"/>
      <c r="H156" s="19"/>
      <c r="I156" s="19" t="str">
        <f aca="false">IF('4 Mock cobas'!F36="Invalid","Invalid",IF('4 Mock cobas'!C36="POS","Positif","Negatif"))</f>
        <v>Negatif</v>
      </c>
      <c r="J156" s="19" t="str">
        <f aca="false">IF('4 Mock cobas'!F36="Invalid","Invalid",IF('4 Mock cobas'!D36="POS","Positif","Negatif"))</f>
        <v>Negatif</v>
      </c>
      <c r="K156" s="19" t="str">
        <f aca="false">IF('4 Mock cobas'!F36="Invalid","Invalid",IF('4 Mock cobas'!E36="POS","Positif","Negatif"))</f>
        <v>Negatif</v>
      </c>
      <c r="L156" s="19" t="str">
        <f aca="false">IF('4 Mock cobas'!F36="Valid","Ya","Tidak")</f>
        <v>Ya</v>
      </c>
      <c r="M156" s="19" t="str">
        <f aca="false">IF(L156="Tidak","Invalid",IF(OR(I156="Positif",J156="Positif"),"Positif 16/18",IF(K156="Positif","Positif lain","Negatif")))</f>
        <v>Negatif</v>
      </c>
      <c r="N156" s="24" t="str">
        <f aca="false">"Perlu cek"</f>
        <v>Perlu cek</v>
      </c>
      <c r="O156" s="25" t="n">
        <f aca="false">'4 Mock cobas'!I36</f>
        <v>46308</v>
      </c>
      <c r="P156" s="19" t="s">
        <v>772</v>
      </c>
    </row>
    <row r="157" customFormat="false" ht="15" hidden="false" customHeight="true" outlineLevel="0" collapsed="false">
      <c r="A157" s="27" t="s">
        <v>771</v>
      </c>
      <c r="B157" s="19" t="str">
        <f aca="false">'4 Mock cobas'!A37</f>
        <v>CB-26-8834</v>
      </c>
      <c r="C157" s="19" t="str">
        <f aca="false">'4 Mock cobas'!B37</f>
        <v>P-0155</v>
      </c>
      <c r="D157" s="19"/>
      <c r="E157" s="19"/>
      <c r="F157" s="19"/>
      <c r="G157" s="19"/>
      <c r="H157" s="19"/>
      <c r="I157" s="19" t="str">
        <f aca="false">IF('4 Mock cobas'!F37="Invalid","Invalid",IF('4 Mock cobas'!C37="POS","Positif","Negatif"))</f>
        <v>Negatif</v>
      </c>
      <c r="J157" s="19" t="str">
        <f aca="false">IF('4 Mock cobas'!F37="Invalid","Invalid",IF('4 Mock cobas'!D37="POS","Positif","Negatif"))</f>
        <v>Negatif</v>
      </c>
      <c r="K157" s="19" t="str">
        <f aca="false">IF('4 Mock cobas'!F37="Invalid","Invalid",IF('4 Mock cobas'!E37="POS","Positif","Negatif"))</f>
        <v>Negatif</v>
      </c>
      <c r="L157" s="19" t="str">
        <f aca="false">IF('4 Mock cobas'!F37="Valid","Ya","Tidak")</f>
        <v>Ya</v>
      </c>
      <c r="M157" s="19" t="str">
        <f aca="false">IF(L157="Tidak","Invalid",IF(OR(I157="Positif",J157="Positif"),"Positif 16/18",IF(K157="Positif","Positif lain","Negatif")))</f>
        <v>Negatif</v>
      </c>
      <c r="N157" s="24" t="str">
        <f aca="false">"Perlu cek"</f>
        <v>Perlu cek</v>
      </c>
      <c r="O157" s="25" t="n">
        <f aca="false">'4 Mock cobas'!I37</f>
        <v>46313</v>
      </c>
      <c r="P157" s="19" t="s">
        <v>772</v>
      </c>
    </row>
    <row r="158" customFormat="false" ht="15" hidden="false" customHeight="true" outlineLevel="0" collapsed="false">
      <c r="A158" s="27" t="s">
        <v>771</v>
      </c>
      <c r="B158" s="19" t="str">
        <f aca="false">'4 Mock cobas'!A38</f>
        <v>CB-26-8835</v>
      </c>
      <c r="C158" s="19" t="str">
        <f aca="false">'4 Mock cobas'!B38</f>
        <v>P-0156</v>
      </c>
      <c r="D158" s="19"/>
      <c r="E158" s="19"/>
      <c r="F158" s="19"/>
      <c r="G158" s="19"/>
      <c r="H158" s="19"/>
      <c r="I158" s="19" t="str">
        <f aca="false">IF('4 Mock cobas'!F38="Invalid","Invalid",IF('4 Mock cobas'!C38="POS","Positif","Negatif"))</f>
        <v>Negatif</v>
      </c>
      <c r="J158" s="19" t="str">
        <f aca="false">IF('4 Mock cobas'!F38="Invalid","Invalid",IF('4 Mock cobas'!D38="POS","Positif","Negatif"))</f>
        <v>Negatif</v>
      </c>
      <c r="K158" s="19" t="str">
        <f aca="false">IF('4 Mock cobas'!F38="Invalid","Invalid",IF('4 Mock cobas'!E38="POS","Positif","Negatif"))</f>
        <v>Negatif</v>
      </c>
      <c r="L158" s="19" t="str">
        <f aca="false">IF('4 Mock cobas'!F38="Valid","Ya","Tidak")</f>
        <v>Ya</v>
      </c>
      <c r="M158" s="19" t="str">
        <f aca="false">IF(L158="Tidak","Invalid",IF(OR(I158="Positif",J158="Positif"),"Positif 16/18",IF(K158="Positif","Positif lain","Negatif")))</f>
        <v>Negatif</v>
      </c>
      <c r="N158" s="24" t="str">
        <f aca="false">"Perlu cek"</f>
        <v>Perlu cek</v>
      </c>
      <c r="O158" s="25" t="n">
        <f aca="false">'4 Mock cobas'!I38</f>
        <v>46313</v>
      </c>
      <c r="P158" s="19" t="s">
        <v>772</v>
      </c>
    </row>
    <row r="159" customFormat="false" ht="15" hidden="false" customHeight="true" outlineLevel="0" collapsed="false">
      <c r="A159" s="27" t="s">
        <v>771</v>
      </c>
      <c r="B159" s="19" t="str">
        <f aca="false">'4 Mock cobas'!A39</f>
        <v>CB-26-8836</v>
      </c>
      <c r="C159" s="19" t="str">
        <f aca="false">'4 Mock cobas'!B39</f>
        <v>P-0157</v>
      </c>
      <c r="D159" s="19"/>
      <c r="E159" s="19"/>
      <c r="F159" s="19"/>
      <c r="G159" s="19"/>
      <c r="H159" s="19"/>
      <c r="I159" s="19" t="str">
        <f aca="false">IF('4 Mock cobas'!F39="Invalid","Invalid",IF('4 Mock cobas'!C39="POS","Positif","Negatif"))</f>
        <v>Negatif</v>
      </c>
      <c r="J159" s="19" t="str">
        <f aca="false">IF('4 Mock cobas'!F39="Invalid","Invalid",IF('4 Mock cobas'!D39="POS","Positif","Negatif"))</f>
        <v>Negatif</v>
      </c>
      <c r="K159" s="19" t="str">
        <f aca="false">IF('4 Mock cobas'!F39="Invalid","Invalid",IF('4 Mock cobas'!E39="POS","Positif","Negatif"))</f>
        <v>Negatif</v>
      </c>
      <c r="L159" s="19" t="str">
        <f aca="false">IF('4 Mock cobas'!F39="Valid","Ya","Tidak")</f>
        <v>Ya</v>
      </c>
      <c r="M159" s="19" t="str">
        <f aca="false">IF(L159="Tidak","Invalid",IF(OR(I159="Positif",J159="Positif"),"Positif 16/18",IF(K159="Positif","Positif lain","Negatif")))</f>
        <v>Negatif</v>
      </c>
      <c r="N159" s="24" t="str">
        <f aca="false">"Perlu cek"</f>
        <v>Perlu cek</v>
      </c>
      <c r="O159" s="25" t="n">
        <f aca="false">'4 Mock cobas'!I39</f>
        <v>46307</v>
      </c>
      <c r="P159" s="19" t="s">
        <v>772</v>
      </c>
    </row>
    <row r="160" customFormat="false" ht="15" hidden="false" customHeight="true" outlineLevel="0" collapsed="false">
      <c r="A160" s="27" t="s">
        <v>771</v>
      </c>
      <c r="B160" s="19" t="str">
        <f aca="false">'4 Mock cobas'!A40</f>
        <v>CB-26-8837</v>
      </c>
      <c r="C160" s="19" t="str">
        <f aca="false">'4 Mock cobas'!B40</f>
        <v>P-0158</v>
      </c>
      <c r="D160" s="19"/>
      <c r="E160" s="19"/>
      <c r="F160" s="19"/>
      <c r="G160" s="19"/>
      <c r="H160" s="19"/>
      <c r="I160" s="19" t="str">
        <f aca="false">IF('4 Mock cobas'!F40="Invalid","Invalid",IF('4 Mock cobas'!C40="POS","Positif","Negatif"))</f>
        <v>Negatif</v>
      </c>
      <c r="J160" s="19" t="str">
        <f aca="false">IF('4 Mock cobas'!F40="Invalid","Invalid",IF('4 Mock cobas'!D40="POS","Positif","Negatif"))</f>
        <v>Negatif</v>
      </c>
      <c r="K160" s="19" t="str">
        <f aca="false">IF('4 Mock cobas'!F40="Invalid","Invalid",IF('4 Mock cobas'!E40="POS","Positif","Negatif"))</f>
        <v>Negatif</v>
      </c>
      <c r="L160" s="19" t="str">
        <f aca="false">IF('4 Mock cobas'!F40="Valid","Ya","Tidak")</f>
        <v>Ya</v>
      </c>
      <c r="M160" s="19" t="str">
        <f aca="false">IF(L160="Tidak","Invalid",IF(OR(I160="Positif",J160="Positif"),"Positif 16/18",IF(K160="Positif","Positif lain","Negatif")))</f>
        <v>Negatif</v>
      </c>
      <c r="N160" s="24" t="str">
        <f aca="false">"Perlu cek"</f>
        <v>Perlu cek</v>
      </c>
      <c r="O160" s="25" t="n">
        <f aca="false">'4 Mock cobas'!I40</f>
        <v>46309</v>
      </c>
      <c r="P160" s="19" t="s">
        <v>772</v>
      </c>
    </row>
    <row r="161" customFormat="false" ht="15" hidden="false" customHeight="true" outlineLevel="0" collapsed="false">
      <c r="A161" s="27" t="s">
        <v>771</v>
      </c>
      <c r="B161" s="19" t="str">
        <f aca="false">'4 Mock cobas'!A41</f>
        <v>CB-26-8838</v>
      </c>
      <c r="C161" s="19" t="str">
        <f aca="false">'4 Mock cobas'!B41</f>
        <v>P-0159</v>
      </c>
      <c r="D161" s="19"/>
      <c r="E161" s="19"/>
      <c r="F161" s="19"/>
      <c r="G161" s="19"/>
      <c r="H161" s="19"/>
      <c r="I161" s="19" t="str">
        <f aca="false">IF('4 Mock cobas'!F41="Invalid","Invalid",IF('4 Mock cobas'!C41="POS","Positif","Negatif"))</f>
        <v>Negatif</v>
      </c>
      <c r="J161" s="19" t="str">
        <f aca="false">IF('4 Mock cobas'!F41="Invalid","Invalid",IF('4 Mock cobas'!D41="POS","Positif","Negatif"))</f>
        <v>Negatif</v>
      </c>
      <c r="K161" s="19" t="str">
        <f aca="false">IF('4 Mock cobas'!F41="Invalid","Invalid",IF('4 Mock cobas'!E41="POS","Positif","Negatif"))</f>
        <v>Negatif</v>
      </c>
      <c r="L161" s="19" t="str">
        <f aca="false">IF('4 Mock cobas'!F41="Valid","Ya","Tidak")</f>
        <v>Ya</v>
      </c>
      <c r="M161" s="19" t="str">
        <f aca="false">IF(L161="Tidak","Invalid",IF(OR(I161="Positif",J161="Positif"),"Positif 16/18",IF(K161="Positif","Positif lain","Negatif")))</f>
        <v>Negatif</v>
      </c>
      <c r="N161" s="24" t="str">
        <f aca="false">"Perlu cek"</f>
        <v>Perlu cek</v>
      </c>
      <c r="O161" s="25" t="n">
        <f aca="false">'4 Mock cobas'!I41</f>
        <v>46305</v>
      </c>
      <c r="P161" s="19" t="s">
        <v>772</v>
      </c>
    </row>
    <row r="162" customFormat="false" ht="15" hidden="false" customHeight="true" outlineLevel="0" collapsed="false">
      <c r="A162" s="27" t="s">
        <v>771</v>
      </c>
      <c r="B162" s="19" t="str">
        <f aca="false">'4 Mock cobas'!A42</f>
        <v>CB-26-8839</v>
      </c>
      <c r="C162" s="19" t="str">
        <f aca="false">'4 Mock cobas'!B42</f>
        <v>P-0160</v>
      </c>
      <c r="D162" s="19"/>
      <c r="E162" s="19"/>
      <c r="F162" s="19"/>
      <c r="G162" s="19"/>
      <c r="H162" s="19"/>
      <c r="I162" s="19" t="str">
        <f aca="false">IF('4 Mock cobas'!F42="Invalid","Invalid",IF('4 Mock cobas'!C42="POS","Positif","Negatif"))</f>
        <v>Negatif</v>
      </c>
      <c r="J162" s="19" t="str">
        <f aca="false">IF('4 Mock cobas'!F42="Invalid","Invalid",IF('4 Mock cobas'!D42="POS","Positif","Negatif"))</f>
        <v>Negatif</v>
      </c>
      <c r="K162" s="19" t="str">
        <f aca="false">IF('4 Mock cobas'!F42="Invalid","Invalid",IF('4 Mock cobas'!E42="POS","Positif","Negatif"))</f>
        <v>Negatif</v>
      </c>
      <c r="L162" s="19" t="str">
        <f aca="false">IF('4 Mock cobas'!F42="Valid","Ya","Tidak")</f>
        <v>Ya</v>
      </c>
      <c r="M162" s="19" t="str">
        <f aca="false">IF(L162="Tidak","Invalid",IF(OR(I162="Positif",J162="Positif"),"Positif 16/18",IF(K162="Positif","Positif lain","Negatif")))</f>
        <v>Negatif</v>
      </c>
      <c r="N162" s="24" t="str">
        <f aca="false">"Perlu cek"</f>
        <v>Perlu cek</v>
      </c>
      <c r="O162" s="25" t="n">
        <f aca="false">'4 Mock cobas'!I42</f>
        <v>46308</v>
      </c>
      <c r="P162" s="19" t="s">
        <v>772</v>
      </c>
    </row>
    <row r="163" customFormat="false" ht="15" hidden="false" customHeight="true" outlineLevel="0" collapsed="false">
      <c r="A163" s="27" t="s">
        <v>771</v>
      </c>
      <c r="B163" s="19" t="str">
        <f aca="false">'4 Mock cobas'!A43</f>
        <v>CB-26-8840</v>
      </c>
      <c r="C163" s="19" t="str">
        <f aca="false">'4 Mock cobas'!B43</f>
        <v>P-0161</v>
      </c>
      <c r="D163" s="19"/>
      <c r="E163" s="19"/>
      <c r="F163" s="19"/>
      <c r="G163" s="19"/>
      <c r="H163" s="19"/>
      <c r="I163" s="19" t="str">
        <f aca="false">IF('4 Mock cobas'!F43="Invalid","Invalid",IF('4 Mock cobas'!C43="POS","Positif","Negatif"))</f>
        <v>Negatif</v>
      </c>
      <c r="J163" s="19" t="str">
        <f aca="false">IF('4 Mock cobas'!F43="Invalid","Invalid",IF('4 Mock cobas'!D43="POS","Positif","Negatif"))</f>
        <v>Negatif</v>
      </c>
      <c r="K163" s="19" t="str">
        <f aca="false">IF('4 Mock cobas'!F43="Invalid","Invalid",IF('4 Mock cobas'!E43="POS","Positif","Negatif"))</f>
        <v>Negatif</v>
      </c>
      <c r="L163" s="19" t="str">
        <f aca="false">IF('4 Mock cobas'!F43="Valid","Ya","Tidak")</f>
        <v>Ya</v>
      </c>
      <c r="M163" s="19" t="str">
        <f aca="false">IF(L163="Tidak","Invalid",IF(OR(I163="Positif",J163="Positif"),"Positif 16/18",IF(K163="Positif","Positif lain","Negatif")))</f>
        <v>Negatif</v>
      </c>
      <c r="N163" s="24" t="str">
        <f aca="false">"Perlu cek"</f>
        <v>Perlu cek</v>
      </c>
      <c r="O163" s="25" t="n">
        <f aca="false">'4 Mock cobas'!I43</f>
        <v>46313</v>
      </c>
      <c r="P163" s="19" t="s">
        <v>772</v>
      </c>
    </row>
    <row r="164" customFormat="false" ht="15" hidden="false" customHeight="true" outlineLevel="0" collapsed="false">
      <c r="A164" s="27" t="s">
        <v>771</v>
      </c>
      <c r="B164" s="19" t="str">
        <f aca="false">'4 Mock cobas'!A44</f>
        <v>CB-26-8841</v>
      </c>
      <c r="C164" s="19" t="str">
        <f aca="false">'4 Mock cobas'!B44</f>
        <v>P-0162</v>
      </c>
      <c r="D164" s="19"/>
      <c r="E164" s="19"/>
      <c r="F164" s="19"/>
      <c r="G164" s="19"/>
      <c r="H164" s="19"/>
      <c r="I164" s="19" t="str">
        <f aca="false">IF('4 Mock cobas'!F44="Invalid","Invalid",IF('4 Mock cobas'!C44="POS","Positif","Negatif"))</f>
        <v>Negatif</v>
      </c>
      <c r="J164" s="19" t="str">
        <f aca="false">IF('4 Mock cobas'!F44="Invalid","Invalid",IF('4 Mock cobas'!D44="POS","Positif","Negatif"))</f>
        <v>Negatif</v>
      </c>
      <c r="K164" s="19" t="str">
        <f aca="false">IF('4 Mock cobas'!F44="Invalid","Invalid",IF('4 Mock cobas'!E44="POS","Positif","Negatif"))</f>
        <v>Negatif</v>
      </c>
      <c r="L164" s="19" t="str">
        <f aca="false">IF('4 Mock cobas'!F44="Valid","Ya","Tidak")</f>
        <v>Ya</v>
      </c>
      <c r="M164" s="19" t="str">
        <f aca="false">IF(L164="Tidak","Invalid",IF(OR(I164="Positif",J164="Positif"),"Positif 16/18",IF(K164="Positif","Positif lain","Negatif")))</f>
        <v>Negatif</v>
      </c>
      <c r="N164" s="24" t="str">
        <f aca="false">"Perlu cek"</f>
        <v>Perlu cek</v>
      </c>
      <c r="O164" s="25" t="n">
        <f aca="false">'4 Mock cobas'!I44</f>
        <v>46314</v>
      </c>
      <c r="P164" s="19" t="s">
        <v>772</v>
      </c>
    </row>
    <row r="165" customFormat="false" ht="15" hidden="false" customHeight="true" outlineLevel="0" collapsed="false">
      <c r="A165" s="27" t="s">
        <v>771</v>
      </c>
      <c r="B165" s="19" t="str">
        <f aca="false">'4 Mock cobas'!A45</f>
        <v>CB-26-8842</v>
      </c>
      <c r="C165" s="19" t="str">
        <f aca="false">'4 Mock cobas'!B45</f>
        <v>P-0163</v>
      </c>
      <c r="D165" s="19"/>
      <c r="E165" s="19"/>
      <c r="F165" s="19"/>
      <c r="G165" s="19"/>
      <c r="H165" s="19"/>
      <c r="I165" s="19" t="str">
        <f aca="false">IF('4 Mock cobas'!F45="Invalid","Invalid",IF('4 Mock cobas'!C45="POS","Positif","Negatif"))</f>
        <v>Negatif</v>
      </c>
      <c r="J165" s="19" t="str">
        <f aca="false">IF('4 Mock cobas'!F45="Invalid","Invalid",IF('4 Mock cobas'!D45="POS","Positif","Negatif"))</f>
        <v>Negatif</v>
      </c>
      <c r="K165" s="19" t="str">
        <f aca="false">IF('4 Mock cobas'!F45="Invalid","Invalid",IF('4 Mock cobas'!E45="POS","Positif","Negatif"))</f>
        <v>Negatif</v>
      </c>
      <c r="L165" s="19" t="str">
        <f aca="false">IF('4 Mock cobas'!F45="Valid","Ya","Tidak")</f>
        <v>Ya</v>
      </c>
      <c r="M165" s="19" t="str">
        <f aca="false">IF(L165="Tidak","Invalid",IF(OR(I165="Positif",J165="Positif"),"Positif 16/18",IF(K165="Positif","Positif lain","Negatif")))</f>
        <v>Negatif</v>
      </c>
      <c r="N165" s="24" t="str">
        <f aca="false">"Perlu cek"</f>
        <v>Perlu cek</v>
      </c>
      <c r="O165" s="25" t="n">
        <f aca="false">'4 Mock cobas'!I45</f>
        <v>46315</v>
      </c>
      <c r="P165" s="19" t="s">
        <v>772</v>
      </c>
    </row>
    <row r="166" customFormat="false" ht="15" hidden="false" customHeight="true" outlineLevel="0" collapsed="false">
      <c r="A166" s="27" t="s">
        <v>771</v>
      </c>
      <c r="B166" s="19" t="str">
        <f aca="false">'4 Mock cobas'!A46</f>
        <v>CB-26-8843</v>
      </c>
      <c r="C166" s="19" t="str">
        <f aca="false">'4 Mock cobas'!B46</f>
        <v>P-0164</v>
      </c>
      <c r="D166" s="19"/>
      <c r="E166" s="19"/>
      <c r="F166" s="19"/>
      <c r="G166" s="19"/>
      <c r="H166" s="19"/>
      <c r="I166" s="19" t="str">
        <f aca="false">IF('4 Mock cobas'!F46="Invalid","Invalid",IF('4 Mock cobas'!C46="POS","Positif","Negatif"))</f>
        <v>Negatif</v>
      </c>
      <c r="J166" s="19" t="str">
        <f aca="false">IF('4 Mock cobas'!F46="Invalid","Invalid",IF('4 Mock cobas'!D46="POS","Positif","Negatif"))</f>
        <v>Negatif</v>
      </c>
      <c r="K166" s="19" t="str">
        <f aca="false">IF('4 Mock cobas'!F46="Invalid","Invalid",IF('4 Mock cobas'!E46="POS","Positif","Negatif"))</f>
        <v>Negatif</v>
      </c>
      <c r="L166" s="19" t="str">
        <f aca="false">IF('4 Mock cobas'!F46="Valid","Ya","Tidak")</f>
        <v>Ya</v>
      </c>
      <c r="M166" s="19" t="str">
        <f aca="false">IF(L166="Tidak","Invalid",IF(OR(I166="Positif",J166="Positif"),"Positif 16/18",IF(K166="Positif","Positif lain","Negatif")))</f>
        <v>Negatif</v>
      </c>
      <c r="N166" s="24" t="str">
        <f aca="false">"Perlu cek"</f>
        <v>Perlu cek</v>
      </c>
      <c r="O166" s="25" t="n">
        <f aca="false">'4 Mock cobas'!I46</f>
        <v>46305</v>
      </c>
      <c r="P166" s="19" t="s">
        <v>772</v>
      </c>
    </row>
    <row r="167" customFormat="false" ht="15" hidden="false" customHeight="true" outlineLevel="0" collapsed="false">
      <c r="A167" s="27" t="s">
        <v>771</v>
      </c>
      <c r="B167" s="19" t="str">
        <f aca="false">'4 Mock cobas'!A47</f>
        <v>CB-26-8844</v>
      </c>
      <c r="C167" s="19" t="str">
        <f aca="false">'4 Mock cobas'!B47</f>
        <v>P-0165</v>
      </c>
      <c r="D167" s="19"/>
      <c r="E167" s="19"/>
      <c r="F167" s="19"/>
      <c r="G167" s="19"/>
      <c r="H167" s="19"/>
      <c r="I167" s="19" t="str">
        <f aca="false">IF('4 Mock cobas'!F47="Invalid","Invalid",IF('4 Mock cobas'!C47="POS","Positif","Negatif"))</f>
        <v>Negatif</v>
      </c>
      <c r="J167" s="19" t="str">
        <f aca="false">IF('4 Mock cobas'!F47="Invalid","Invalid",IF('4 Mock cobas'!D47="POS","Positif","Negatif"))</f>
        <v>Negatif</v>
      </c>
      <c r="K167" s="19" t="str">
        <f aca="false">IF('4 Mock cobas'!F47="Invalid","Invalid",IF('4 Mock cobas'!E47="POS","Positif","Negatif"))</f>
        <v>Negatif</v>
      </c>
      <c r="L167" s="19" t="str">
        <f aca="false">IF('4 Mock cobas'!F47="Valid","Ya","Tidak")</f>
        <v>Ya</v>
      </c>
      <c r="M167" s="19" t="str">
        <f aca="false">IF(L167="Tidak","Invalid",IF(OR(I167="Positif",J167="Positif"),"Positif 16/18",IF(K167="Positif","Positif lain","Negatif")))</f>
        <v>Negatif</v>
      </c>
      <c r="N167" s="24" t="str">
        <f aca="false">"Perlu cek"</f>
        <v>Perlu cek</v>
      </c>
      <c r="O167" s="25" t="n">
        <f aca="false">'4 Mock cobas'!I47</f>
        <v>46307</v>
      </c>
      <c r="P167" s="19" t="s">
        <v>772</v>
      </c>
    </row>
    <row r="168" customFormat="false" ht="15" hidden="false" customHeight="true" outlineLevel="0" collapsed="false">
      <c r="A168" s="27" t="s">
        <v>771</v>
      </c>
      <c r="B168" s="19" t="str">
        <f aca="false">'4 Mock cobas'!A48</f>
        <v>CB-26-8845</v>
      </c>
      <c r="C168" s="19" t="str">
        <f aca="false">'4 Mock cobas'!B48</f>
        <v>P-0166</v>
      </c>
      <c r="D168" s="19"/>
      <c r="E168" s="19"/>
      <c r="F168" s="19"/>
      <c r="G168" s="19"/>
      <c r="H168" s="19"/>
      <c r="I168" s="19" t="str">
        <f aca="false">IF('4 Mock cobas'!F48="Invalid","Invalid",IF('4 Mock cobas'!C48="POS","Positif","Negatif"))</f>
        <v>Positif</v>
      </c>
      <c r="J168" s="19" t="str">
        <f aca="false">IF('4 Mock cobas'!F48="Invalid","Invalid",IF('4 Mock cobas'!D48="POS","Positif","Negatif"))</f>
        <v>Negatif</v>
      </c>
      <c r="K168" s="19" t="str">
        <f aca="false">IF('4 Mock cobas'!F48="Invalid","Invalid",IF('4 Mock cobas'!E48="POS","Positif","Negatif"))</f>
        <v>Negatif</v>
      </c>
      <c r="L168" s="19" t="str">
        <f aca="false">IF('4 Mock cobas'!F48="Valid","Ya","Tidak")</f>
        <v>Ya</v>
      </c>
      <c r="M168" s="19" t="str">
        <f aca="false">IF(L168="Tidak","Invalid",IF(OR(I168="Positif",J168="Positif"),"Positif 16/18",IF(K168="Positif","Positif lain","Negatif")))</f>
        <v>Positif 16/18</v>
      </c>
      <c r="N168" s="24" t="str">
        <f aca="false">"Perlu cek"</f>
        <v>Perlu cek</v>
      </c>
      <c r="O168" s="25" t="n">
        <f aca="false">'4 Mock cobas'!I48</f>
        <v>46313</v>
      </c>
      <c r="P168" s="19" t="s">
        <v>772</v>
      </c>
    </row>
    <row r="169" customFormat="false" ht="15" hidden="false" customHeight="true" outlineLevel="0" collapsed="false">
      <c r="A169" s="27" t="s">
        <v>771</v>
      </c>
      <c r="B169" s="19" t="str">
        <f aca="false">'4 Mock cobas'!A49</f>
        <v>CB-26-8846</v>
      </c>
      <c r="C169" s="19" t="str">
        <f aca="false">'4 Mock cobas'!B49</f>
        <v>P-0167</v>
      </c>
      <c r="D169" s="19"/>
      <c r="E169" s="19"/>
      <c r="F169" s="19"/>
      <c r="G169" s="19"/>
      <c r="H169" s="19"/>
      <c r="I169" s="19" t="str">
        <f aca="false">IF('4 Mock cobas'!F49="Invalid","Invalid",IF('4 Mock cobas'!C49="POS","Positif","Negatif"))</f>
        <v>Negatif</v>
      </c>
      <c r="J169" s="19" t="str">
        <f aca="false">IF('4 Mock cobas'!F49="Invalid","Invalid",IF('4 Mock cobas'!D49="POS","Positif","Negatif"))</f>
        <v>Negatif</v>
      </c>
      <c r="K169" s="19" t="str">
        <f aca="false">IF('4 Mock cobas'!F49="Invalid","Invalid",IF('4 Mock cobas'!E49="POS","Positif","Negatif"))</f>
        <v>Negatif</v>
      </c>
      <c r="L169" s="19" t="str">
        <f aca="false">IF('4 Mock cobas'!F49="Valid","Ya","Tidak")</f>
        <v>Ya</v>
      </c>
      <c r="M169" s="19" t="str">
        <f aca="false">IF(L169="Tidak","Invalid",IF(OR(I169="Positif",J169="Positif"),"Positif 16/18",IF(K169="Positif","Positif lain","Negatif")))</f>
        <v>Negatif</v>
      </c>
      <c r="N169" s="24" t="str">
        <f aca="false">"Perlu cek"</f>
        <v>Perlu cek</v>
      </c>
      <c r="O169" s="25" t="n">
        <f aca="false">'4 Mock cobas'!I49</f>
        <v>46310</v>
      </c>
      <c r="P169" s="19" t="s">
        <v>772</v>
      </c>
    </row>
    <row r="170" customFormat="false" ht="15" hidden="false" customHeight="true" outlineLevel="0" collapsed="false">
      <c r="A170" s="27" t="s">
        <v>771</v>
      </c>
      <c r="B170" s="19" t="str">
        <f aca="false">'4 Mock cobas'!A50</f>
        <v>CB-26-8847</v>
      </c>
      <c r="C170" s="19" t="str">
        <f aca="false">'4 Mock cobas'!B50</f>
        <v>P-0168</v>
      </c>
      <c r="D170" s="19"/>
      <c r="E170" s="19"/>
      <c r="F170" s="19"/>
      <c r="G170" s="19"/>
      <c r="H170" s="19"/>
      <c r="I170" s="19" t="str">
        <f aca="false">IF('4 Mock cobas'!F50="Invalid","Invalid",IF('4 Mock cobas'!C50="POS","Positif","Negatif"))</f>
        <v>Negatif</v>
      </c>
      <c r="J170" s="19" t="str">
        <f aca="false">IF('4 Mock cobas'!F50="Invalid","Invalid",IF('4 Mock cobas'!D50="POS","Positif","Negatif"))</f>
        <v>Negatif</v>
      </c>
      <c r="K170" s="19" t="str">
        <f aca="false">IF('4 Mock cobas'!F50="Invalid","Invalid",IF('4 Mock cobas'!E50="POS","Positif","Negatif"))</f>
        <v>Positif</v>
      </c>
      <c r="L170" s="19" t="str">
        <f aca="false">IF('4 Mock cobas'!F50="Valid","Ya","Tidak")</f>
        <v>Ya</v>
      </c>
      <c r="M170" s="19" t="str">
        <f aca="false">IF(L170="Tidak","Invalid",IF(OR(I170="Positif",J170="Positif"),"Positif 16/18",IF(K170="Positif","Positif lain","Negatif")))</f>
        <v>Positif lain</v>
      </c>
      <c r="N170" s="24" t="str">
        <f aca="false">"Perlu cek"</f>
        <v>Perlu cek</v>
      </c>
      <c r="O170" s="25" t="n">
        <f aca="false">'4 Mock cobas'!I50</f>
        <v>46308</v>
      </c>
      <c r="P170" s="19" t="s">
        <v>772</v>
      </c>
    </row>
    <row r="171" customFormat="false" ht="15" hidden="false" customHeight="true" outlineLevel="0" collapsed="false">
      <c r="A171" s="27" t="s">
        <v>771</v>
      </c>
      <c r="B171" s="19" t="str">
        <f aca="false">'4 Mock cobas'!A51</f>
        <v>CB-26-8848</v>
      </c>
      <c r="C171" s="19" t="str">
        <f aca="false">'4 Mock cobas'!B51</f>
        <v>P-0169</v>
      </c>
      <c r="D171" s="19"/>
      <c r="E171" s="19"/>
      <c r="F171" s="19"/>
      <c r="G171" s="19"/>
      <c r="H171" s="19"/>
      <c r="I171" s="19" t="str">
        <f aca="false">IF('4 Mock cobas'!F51="Invalid","Invalid",IF('4 Mock cobas'!C51="POS","Positif","Negatif"))</f>
        <v>Negatif</v>
      </c>
      <c r="J171" s="19" t="str">
        <f aca="false">IF('4 Mock cobas'!F51="Invalid","Invalid",IF('4 Mock cobas'!D51="POS","Positif","Negatif"))</f>
        <v>Negatif</v>
      </c>
      <c r="K171" s="19" t="str">
        <f aca="false">IF('4 Mock cobas'!F51="Invalid","Invalid",IF('4 Mock cobas'!E51="POS","Positif","Negatif"))</f>
        <v>Negatif</v>
      </c>
      <c r="L171" s="19" t="str">
        <f aca="false">IF('4 Mock cobas'!F51="Valid","Ya","Tidak")</f>
        <v>Ya</v>
      </c>
      <c r="M171" s="19" t="str">
        <f aca="false">IF(L171="Tidak","Invalid",IF(OR(I171="Positif",J171="Positif"),"Positif 16/18",IF(K171="Positif","Positif lain","Negatif")))</f>
        <v>Negatif</v>
      </c>
      <c r="N171" s="24" t="str">
        <f aca="false">"Perlu cek"</f>
        <v>Perlu cek</v>
      </c>
      <c r="O171" s="25" t="n">
        <f aca="false">'4 Mock cobas'!I51</f>
        <v>46304</v>
      </c>
      <c r="P171" s="19" t="s">
        <v>772</v>
      </c>
    </row>
    <row r="172" customFormat="false" ht="15" hidden="false" customHeight="true" outlineLevel="0" collapsed="false">
      <c r="A172" s="27" t="s">
        <v>771</v>
      </c>
      <c r="B172" s="19" t="str">
        <f aca="false">'4 Mock cobas'!A52</f>
        <v>CB-26-8849</v>
      </c>
      <c r="C172" s="19" t="str">
        <f aca="false">'4 Mock cobas'!B52</f>
        <v>P-0170</v>
      </c>
      <c r="D172" s="19"/>
      <c r="E172" s="19"/>
      <c r="F172" s="19"/>
      <c r="G172" s="19"/>
      <c r="H172" s="19"/>
      <c r="I172" s="19" t="str">
        <f aca="false">IF('4 Mock cobas'!F52="Invalid","Invalid",IF('4 Mock cobas'!C52="POS","Positif","Negatif"))</f>
        <v>Negatif</v>
      </c>
      <c r="J172" s="19" t="str">
        <f aca="false">IF('4 Mock cobas'!F52="Invalid","Invalid",IF('4 Mock cobas'!D52="POS","Positif","Negatif"))</f>
        <v>Negatif</v>
      </c>
      <c r="K172" s="19" t="str">
        <f aca="false">IF('4 Mock cobas'!F52="Invalid","Invalid",IF('4 Mock cobas'!E52="POS","Positif","Negatif"))</f>
        <v>Negatif</v>
      </c>
      <c r="L172" s="19" t="str">
        <f aca="false">IF('4 Mock cobas'!F52="Valid","Ya","Tidak")</f>
        <v>Ya</v>
      </c>
      <c r="M172" s="19" t="str">
        <f aca="false">IF(L172="Tidak","Invalid",IF(OR(I172="Positif",J172="Positif"),"Positif 16/18",IF(K172="Positif","Positif lain","Negatif")))</f>
        <v>Negatif</v>
      </c>
      <c r="N172" s="24" t="str">
        <f aca="false">"Perlu cek"</f>
        <v>Perlu cek</v>
      </c>
      <c r="O172" s="25" t="n">
        <f aca="false">'4 Mock cobas'!I52</f>
        <v>46314</v>
      </c>
      <c r="P172" s="19" t="s">
        <v>772</v>
      </c>
    </row>
    <row r="173" customFormat="false" ht="15" hidden="false" customHeight="true" outlineLevel="0" collapsed="false">
      <c r="A173" s="27" t="s">
        <v>771</v>
      </c>
      <c r="B173" s="19" t="str">
        <f aca="false">'4 Mock cobas'!A53</f>
        <v>CB-26-8850</v>
      </c>
      <c r="C173" s="19" t="str">
        <f aca="false">'4 Mock cobas'!B53</f>
        <v>P-0171</v>
      </c>
      <c r="D173" s="19"/>
      <c r="E173" s="19"/>
      <c r="F173" s="19"/>
      <c r="G173" s="19"/>
      <c r="H173" s="19"/>
      <c r="I173" s="19" t="str">
        <f aca="false">IF('4 Mock cobas'!F53="Invalid","Invalid",IF('4 Mock cobas'!C53="POS","Positif","Negatif"))</f>
        <v>Negatif</v>
      </c>
      <c r="J173" s="19" t="str">
        <f aca="false">IF('4 Mock cobas'!F53="Invalid","Invalid",IF('4 Mock cobas'!D53="POS","Positif","Negatif"))</f>
        <v>Negatif</v>
      </c>
      <c r="K173" s="19" t="str">
        <f aca="false">IF('4 Mock cobas'!F53="Invalid","Invalid",IF('4 Mock cobas'!E53="POS","Positif","Negatif"))</f>
        <v>Positif</v>
      </c>
      <c r="L173" s="19" t="str">
        <f aca="false">IF('4 Mock cobas'!F53="Valid","Ya","Tidak")</f>
        <v>Ya</v>
      </c>
      <c r="M173" s="19" t="str">
        <f aca="false">IF(L173="Tidak","Invalid",IF(OR(I173="Positif",J173="Positif"),"Positif 16/18",IF(K173="Positif","Positif lain","Negatif")))</f>
        <v>Positif lain</v>
      </c>
      <c r="N173" s="24" t="str">
        <f aca="false">"Perlu cek"</f>
        <v>Perlu cek</v>
      </c>
      <c r="O173" s="25" t="n">
        <f aca="false">'4 Mock cobas'!I53</f>
        <v>46307</v>
      </c>
      <c r="P173" s="19" t="s">
        <v>772</v>
      </c>
    </row>
    <row r="174" customFormat="false" ht="15" hidden="false" customHeight="true" outlineLevel="0" collapsed="false">
      <c r="A174" s="27" t="s">
        <v>771</v>
      </c>
      <c r="B174" s="19" t="str">
        <f aca="false">'4 Mock cobas'!A54</f>
        <v>CB-26-8851</v>
      </c>
      <c r="C174" s="19" t="str">
        <f aca="false">'4 Mock cobas'!B54</f>
        <v>P-0172</v>
      </c>
      <c r="D174" s="19"/>
      <c r="E174" s="19"/>
      <c r="F174" s="19"/>
      <c r="G174" s="19"/>
      <c r="H174" s="19"/>
      <c r="I174" s="19" t="str">
        <f aca="false">IF('4 Mock cobas'!F54="Invalid","Invalid",IF('4 Mock cobas'!C54="POS","Positif","Negatif"))</f>
        <v>Invalid</v>
      </c>
      <c r="J174" s="19" t="str">
        <f aca="false">IF('4 Mock cobas'!F54="Invalid","Invalid",IF('4 Mock cobas'!D54="POS","Positif","Negatif"))</f>
        <v>Invalid</v>
      </c>
      <c r="K174" s="19" t="str">
        <f aca="false">IF('4 Mock cobas'!F54="Invalid","Invalid",IF('4 Mock cobas'!E54="POS","Positif","Negatif"))</f>
        <v>Invalid</v>
      </c>
      <c r="L174" s="19" t="str">
        <f aca="false">IF('4 Mock cobas'!F54="Valid","Ya","Tidak")</f>
        <v>Tidak</v>
      </c>
      <c r="M174" s="19" t="str">
        <f aca="false">IF(L174="Tidak","Invalid",IF(OR(I174="Positif",J174="Positif"),"Positif 16/18",IF(K174="Positif","Positif lain","Negatif")))</f>
        <v>Invalid</v>
      </c>
      <c r="N174" s="24" t="str">
        <f aca="false">"Perlu cek"</f>
        <v>Perlu cek</v>
      </c>
      <c r="O174" s="25" t="n">
        <f aca="false">'4 Mock cobas'!I54</f>
        <v>46308</v>
      </c>
      <c r="P174" s="19" t="s">
        <v>772</v>
      </c>
    </row>
    <row r="175" customFormat="false" ht="15" hidden="false" customHeight="true" outlineLevel="0" collapsed="false">
      <c r="A175" s="27" t="s">
        <v>771</v>
      </c>
      <c r="B175" s="19" t="str">
        <f aca="false">'4 Mock cobas'!A55</f>
        <v>CB-26-8852</v>
      </c>
      <c r="C175" s="19" t="str">
        <f aca="false">'4 Mock cobas'!B55</f>
        <v>P-0173</v>
      </c>
      <c r="D175" s="19"/>
      <c r="E175" s="19"/>
      <c r="F175" s="19"/>
      <c r="G175" s="19"/>
      <c r="H175" s="19"/>
      <c r="I175" s="19" t="str">
        <f aca="false">IF('4 Mock cobas'!F55="Invalid","Invalid",IF('4 Mock cobas'!C55="POS","Positif","Negatif"))</f>
        <v>Negatif</v>
      </c>
      <c r="J175" s="19" t="str">
        <f aca="false">IF('4 Mock cobas'!F55="Invalid","Invalid",IF('4 Mock cobas'!D55="POS","Positif","Negatif"))</f>
        <v>Negatif</v>
      </c>
      <c r="K175" s="19" t="str">
        <f aca="false">IF('4 Mock cobas'!F55="Invalid","Invalid",IF('4 Mock cobas'!E55="POS","Positif","Negatif"))</f>
        <v>Negatif</v>
      </c>
      <c r="L175" s="19" t="str">
        <f aca="false">IF('4 Mock cobas'!F55="Valid","Ya","Tidak")</f>
        <v>Ya</v>
      </c>
      <c r="M175" s="19" t="str">
        <f aca="false">IF(L175="Tidak","Invalid",IF(OR(I175="Positif",J175="Positif"),"Positif 16/18",IF(K175="Positif","Positif lain","Negatif")))</f>
        <v>Negatif</v>
      </c>
      <c r="N175" s="24" t="str">
        <f aca="false">"Perlu cek"</f>
        <v>Perlu cek</v>
      </c>
      <c r="O175" s="25" t="n">
        <f aca="false">'4 Mock cobas'!I55</f>
        <v>46304</v>
      </c>
      <c r="P175" s="19" t="s">
        <v>772</v>
      </c>
    </row>
    <row r="176" customFormat="false" ht="15" hidden="false" customHeight="true" outlineLevel="0" collapsed="false">
      <c r="A176" s="27" t="s">
        <v>771</v>
      </c>
      <c r="B176" s="19" t="str">
        <f aca="false">'4 Mock cobas'!A56</f>
        <v>CB-26-8853</v>
      </c>
      <c r="C176" s="19" t="str">
        <f aca="false">'4 Mock cobas'!B56</f>
        <v>P-0174</v>
      </c>
      <c r="D176" s="19"/>
      <c r="E176" s="19"/>
      <c r="F176" s="19"/>
      <c r="G176" s="19"/>
      <c r="H176" s="19"/>
      <c r="I176" s="19" t="str">
        <f aca="false">IF('4 Mock cobas'!F56="Invalid","Invalid",IF('4 Mock cobas'!C56="POS","Positif","Negatif"))</f>
        <v>Negatif</v>
      </c>
      <c r="J176" s="19" t="str">
        <f aca="false">IF('4 Mock cobas'!F56="Invalid","Invalid",IF('4 Mock cobas'!D56="POS","Positif","Negatif"))</f>
        <v>Negatif</v>
      </c>
      <c r="K176" s="19" t="str">
        <f aca="false">IF('4 Mock cobas'!F56="Invalid","Invalid",IF('4 Mock cobas'!E56="POS","Positif","Negatif"))</f>
        <v>Positif</v>
      </c>
      <c r="L176" s="19" t="str">
        <f aca="false">IF('4 Mock cobas'!F56="Valid","Ya","Tidak")</f>
        <v>Ya</v>
      </c>
      <c r="M176" s="19" t="str">
        <f aca="false">IF(L176="Tidak","Invalid",IF(OR(I176="Positif",J176="Positif"),"Positif 16/18",IF(K176="Positif","Positif lain","Negatif")))</f>
        <v>Positif lain</v>
      </c>
      <c r="N176" s="24" t="str">
        <f aca="false">"Perlu cek"</f>
        <v>Perlu cek</v>
      </c>
      <c r="O176" s="25" t="n">
        <f aca="false">'4 Mock cobas'!I56</f>
        <v>46309</v>
      </c>
      <c r="P176" s="19" t="s">
        <v>772</v>
      </c>
    </row>
    <row r="177" customFormat="false" ht="15" hidden="false" customHeight="true" outlineLevel="0" collapsed="false">
      <c r="A177" s="27" t="s">
        <v>771</v>
      </c>
      <c r="B177" s="19" t="str">
        <f aca="false">'4 Mock cobas'!A57</f>
        <v>CB-26-8854</v>
      </c>
      <c r="C177" s="19" t="str">
        <f aca="false">'4 Mock cobas'!B57</f>
        <v>P-0175</v>
      </c>
      <c r="D177" s="19"/>
      <c r="E177" s="19"/>
      <c r="F177" s="19"/>
      <c r="G177" s="19"/>
      <c r="H177" s="19"/>
      <c r="I177" s="19" t="str">
        <f aca="false">IF('4 Mock cobas'!F57="Invalid","Invalid",IF('4 Mock cobas'!C57="POS","Positif","Negatif"))</f>
        <v>Negatif</v>
      </c>
      <c r="J177" s="19" t="str">
        <f aca="false">IF('4 Mock cobas'!F57="Invalid","Invalid",IF('4 Mock cobas'!D57="POS","Positif","Negatif"))</f>
        <v>Negatif</v>
      </c>
      <c r="K177" s="19" t="str">
        <f aca="false">IF('4 Mock cobas'!F57="Invalid","Invalid",IF('4 Mock cobas'!E57="POS","Positif","Negatif"))</f>
        <v>Negatif</v>
      </c>
      <c r="L177" s="19" t="str">
        <f aca="false">IF('4 Mock cobas'!F57="Valid","Ya","Tidak")</f>
        <v>Ya</v>
      </c>
      <c r="M177" s="19" t="str">
        <f aca="false">IF(L177="Tidak","Invalid",IF(OR(I177="Positif",J177="Positif"),"Positif 16/18",IF(K177="Positif","Positif lain","Negatif")))</f>
        <v>Negatif</v>
      </c>
      <c r="N177" s="24" t="str">
        <f aca="false">"Perlu cek"</f>
        <v>Perlu cek</v>
      </c>
      <c r="O177" s="25" t="n">
        <f aca="false">'4 Mock cobas'!I57</f>
        <v>46313</v>
      </c>
      <c r="P177" s="19" t="s">
        <v>772</v>
      </c>
    </row>
    <row r="178" customFormat="false" ht="15" hidden="false" customHeight="true" outlineLevel="0" collapsed="false">
      <c r="A178" s="27" t="s">
        <v>771</v>
      </c>
      <c r="B178" s="19" t="str">
        <f aca="false">'4 Mock cobas'!A58</f>
        <v>CB-26-8855</v>
      </c>
      <c r="C178" s="19" t="str">
        <f aca="false">'4 Mock cobas'!B58</f>
        <v>P-0176</v>
      </c>
      <c r="D178" s="19"/>
      <c r="E178" s="19"/>
      <c r="F178" s="19"/>
      <c r="G178" s="19"/>
      <c r="H178" s="19"/>
      <c r="I178" s="19" t="str">
        <f aca="false">IF('4 Mock cobas'!F58="Invalid","Invalid",IF('4 Mock cobas'!C58="POS","Positif","Negatif"))</f>
        <v>Negatif</v>
      </c>
      <c r="J178" s="19" t="str">
        <f aca="false">IF('4 Mock cobas'!F58="Invalid","Invalid",IF('4 Mock cobas'!D58="POS","Positif","Negatif"))</f>
        <v>Positif</v>
      </c>
      <c r="K178" s="19" t="str">
        <f aca="false">IF('4 Mock cobas'!F58="Invalid","Invalid",IF('4 Mock cobas'!E58="POS","Positif","Negatif"))</f>
        <v>Negatif</v>
      </c>
      <c r="L178" s="19" t="str">
        <f aca="false">IF('4 Mock cobas'!F58="Valid","Ya","Tidak")</f>
        <v>Ya</v>
      </c>
      <c r="M178" s="19" t="str">
        <f aca="false">IF(L178="Tidak","Invalid",IF(OR(I178="Positif",J178="Positif"),"Positif 16/18",IF(K178="Positif","Positif lain","Negatif")))</f>
        <v>Positif 16/18</v>
      </c>
      <c r="N178" s="24" t="str">
        <f aca="false">"Perlu cek"</f>
        <v>Perlu cek</v>
      </c>
      <c r="O178" s="25" t="n">
        <f aca="false">'4 Mock cobas'!I58</f>
        <v>46308</v>
      </c>
      <c r="P178" s="19" t="s">
        <v>772</v>
      </c>
    </row>
    <row r="179" customFormat="false" ht="15" hidden="false" customHeight="true" outlineLevel="0" collapsed="false">
      <c r="A179" s="27" t="s">
        <v>771</v>
      </c>
      <c r="B179" s="19" t="str">
        <f aca="false">'4 Mock cobas'!A59</f>
        <v>CB-26-8856</v>
      </c>
      <c r="C179" s="19" t="str">
        <f aca="false">'4 Mock cobas'!B59</f>
        <v>P-0177</v>
      </c>
      <c r="D179" s="19"/>
      <c r="E179" s="19"/>
      <c r="F179" s="19"/>
      <c r="G179" s="19"/>
      <c r="H179" s="19"/>
      <c r="I179" s="19" t="str">
        <f aca="false">IF('4 Mock cobas'!F59="Invalid","Invalid",IF('4 Mock cobas'!C59="POS","Positif","Negatif"))</f>
        <v>Negatif</v>
      </c>
      <c r="J179" s="19" t="str">
        <f aca="false">IF('4 Mock cobas'!F59="Invalid","Invalid",IF('4 Mock cobas'!D59="POS","Positif","Negatif"))</f>
        <v>Negatif</v>
      </c>
      <c r="K179" s="19" t="str">
        <f aca="false">IF('4 Mock cobas'!F59="Invalid","Invalid",IF('4 Mock cobas'!E59="POS","Positif","Negatif"))</f>
        <v>Positif</v>
      </c>
      <c r="L179" s="19" t="str">
        <f aca="false">IF('4 Mock cobas'!F59="Valid","Ya","Tidak")</f>
        <v>Ya</v>
      </c>
      <c r="M179" s="19" t="str">
        <f aca="false">IF(L179="Tidak","Invalid",IF(OR(I179="Positif",J179="Positif"),"Positif 16/18",IF(K179="Positif","Positif lain","Negatif")))</f>
        <v>Positif lain</v>
      </c>
      <c r="N179" s="24" t="str">
        <f aca="false">"Perlu cek"</f>
        <v>Perlu cek</v>
      </c>
      <c r="O179" s="25" t="n">
        <f aca="false">'4 Mock cobas'!I59</f>
        <v>46308</v>
      </c>
      <c r="P179" s="19" t="s">
        <v>772</v>
      </c>
    </row>
    <row r="180" customFormat="false" ht="15" hidden="false" customHeight="true" outlineLevel="0" collapsed="false">
      <c r="A180" s="27" t="s">
        <v>771</v>
      </c>
      <c r="B180" s="19" t="str">
        <f aca="false">'4 Mock cobas'!A60</f>
        <v>CB-26-8857</v>
      </c>
      <c r="C180" s="19" t="str">
        <f aca="false">'4 Mock cobas'!B60</f>
        <v>P-0178</v>
      </c>
      <c r="D180" s="19"/>
      <c r="E180" s="19"/>
      <c r="F180" s="19"/>
      <c r="G180" s="19"/>
      <c r="H180" s="19"/>
      <c r="I180" s="19" t="str">
        <f aca="false">IF('4 Mock cobas'!F60="Invalid","Invalid",IF('4 Mock cobas'!C60="POS","Positif","Negatif"))</f>
        <v>Negatif</v>
      </c>
      <c r="J180" s="19" t="str">
        <f aca="false">IF('4 Mock cobas'!F60="Invalid","Invalid",IF('4 Mock cobas'!D60="POS","Positif","Negatif"))</f>
        <v>Negatif</v>
      </c>
      <c r="K180" s="19" t="str">
        <f aca="false">IF('4 Mock cobas'!F60="Invalid","Invalid",IF('4 Mock cobas'!E60="POS","Positif","Negatif"))</f>
        <v>Negatif</v>
      </c>
      <c r="L180" s="19" t="str">
        <f aca="false">IF('4 Mock cobas'!F60="Valid","Ya","Tidak")</f>
        <v>Ya</v>
      </c>
      <c r="M180" s="19" t="str">
        <f aca="false">IF(L180="Tidak","Invalid",IF(OR(I180="Positif",J180="Positif"),"Positif 16/18",IF(K180="Positif","Positif lain","Negatif")))</f>
        <v>Negatif</v>
      </c>
      <c r="N180" s="24" t="str">
        <f aca="false">"Perlu cek"</f>
        <v>Perlu cek</v>
      </c>
      <c r="O180" s="25" t="n">
        <f aca="false">'4 Mock cobas'!I60</f>
        <v>46304</v>
      </c>
      <c r="P180" s="19" t="s">
        <v>772</v>
      </c>
    </row>
    <row r="181" customFormat="false" ht="15" hidden="false" customHeight="true" outlineLevel="0" collapsed="false">
      <c r="A181" s="27" t="s">
        <v>771</v>
      </c>
      <c r="B181" s="19" t="str">
        <f aca="false">'4 Mock cobas'!A61</f>
        <v>CB-26-8858</v>
      </c>
      <c r="C181" s="19" t="str">
        <f aca="false">'4 Mock cobas'!B61</f>
        <v>P-0179</v>
      </c>
      <c r="D181" s="19"/>
      <c r="E181" s="19"/>
      <c r="F181" s="19"/>
      <c r="G181" s="19"/>
      <c r="H181" s="19"/>
      <c r="I181" s="19" t="str">
        <f aca="false">IF('4 Mock cobas'!F61="Invalid","Invalid",IF('4 Mock cobas'!C61="POS","Positif","Negatif"))</f>
        <v>Negatif</v>
      </c>
      <c r="J181" s="19" t="str">
        <f aca="false">IF('4 Mock cobas'!F61="Invalid","Invalid",IF('4 Mock cobas'!D61="POS","Positif","Negatif"))</f>
        <v>Negatif</v>
      </c>
      <c r="K181" s="19" t="str">
        <f aca="false">IF('4 Mock cobas'!F61="Invalid","Invalid",IF('4 Mock cobas'!E61="POS","Positif","Negatif"))</f>
        <v>Negatif</v>
      </c>
      <c r="L181" s="19" t="str">
        <f aca="false">IF('4 Mock cobas'!F61="Valid","Ya","Tidak")</f>
        <v>Ya</v>
      </c>
      <c r="M181" s="19" t="str">
        <f aca="false">IF(L181="Tidak","Invalid",IF(OR(I181="Positif",J181="Positif"),"Positif 16/18",IF(K181="Positif","Positif lain","Negatif")))</f>
        <v>Negatif</v>
      </c>
      <c r="N181" s="24" t="str">
        <f aca="false">"Perlu cek"</f>
        <v>Perlu cek</v>
      </c>
      <c r="O181" s="25" t="n">
        <f aca="false">'4 Mock cobas'!I61</f>
        <v>46307</v>
      </c>
      <c r="P181" s="19" t="s">
        <v>772</v>
      </c>
    </row>
    <row r="182" customFormat="false" ht="15" hidden="false" customHeight="true" outlineLevel="0" collapsed="false">
      <c r="A182" s="27" t="s">
        <v>771</v>
      </c>
      <c r="B182" s="19" t="str">
        <f aca="false">'4 Mock cobas'!A62</f>
        <v>CB-26-8859</v>
      </c>
      <c r="C182" s="19" t="str">
        <f aca="false">'4 Mock cobas'!B62</f>
        <v>P-0180</v>
      </c>
      <c r="D182" s="19"/>
      <c r="E182" s="19"/>
      <c r="F182" s="19"/>
      <c r="G182" s="19"/>
      <c r="H182" s="19"/>
      <c r="I182" s="19" t="str">
        <f aca="false">IF('4 Mock cobas'!F62="Invalid","Invalid",IF('4 Mock cobas'!C62="POS","Positif","Negatif"))</f>
        <v>Negatif</v>
      </c>
      <c r="J182" s="19" t="str">
        <f aca="false">IF('4 Mock cobas'!F62="Invalid","Invalid",IF('4 Mock cobas'!D62="POS","Positif","Negatif"))</f>
        <v>Negatif</v>
      </c>
      <c r="K182" s="19" t="str">
        <f aca="false">IF('4 Mock cobas'!F62="Invalid","Invalid",IF('4 Mock cobas'!E62="POS","Positif","Negatif"))</f>
        <v>Negatif</v>
      </c>
      <c r="L182" s="19" t="str">
        <f aca="false">IF('4 Mock cobas'!F62="Valid","Ya","Tidak")</f>
        <v>Ya</v>
      </c>
      <c r="M182" s="19" t="str">
        <f aca="false">IF(L182="Tidak","Invalid",IF(OR(I182="Positif",J182="Positif"),"Positif 16/18",IF(K182="Positif","Positif lain","Negatif")))</f>
        <v>Negatif</v>
      </c>
      <c r="N182" s="24" t="str">
        <f aca="false">"Perlu cek"</f>
        <v>Perlu cek</v>
      </c>
      <c r="O182" s="25" t="n">
        <f aca="false">'4 Mock cobas'!I62</f>
        <v>46311</v>
      </c>
      <c r="P182" s="19" t="s">
        <v>772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2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7" min="6" style="1" width="12"/>
    <col collapsed="false" customWidth="true" hidden="false" outlineLevel="0" max="8" min="8" style="1" width="11"/>
    <col collapsed="false" customWidth="true" hidden="false" outlineLevel="0" max="9" min="9" style="1" width="13"/>
    <col collapsed="false" customWidth="true" hidden="false" outlineLevel="0" max="10" min="10" style="1" width="26"/>
    <col collapsed="false" customWidth="true" hidden="false" outlineLevel="0" max="11" min="11" style="1" width="14"/>
    <col collapsed="false" customWidth="true" hidden="false" outlineLevel="0" max="12" min="12" style="1" width="11"/>
    <col collapsed="false" customWidth="true" hidden="false" outlineLevel="0" max="13" min="13" style="1" width="16"/>
  </cols>
  <sheetData>
    <row r="1" customFormat="false" ht="15" hidden="false" customHeight="true" outlineLevel="0" collapsed="false">
      <c r="A1" s="10" t="s">
        <v>773</v>
      </c>
    </row>
    <row r="2" customFormat="false" ht="23.25" hidden="false" customHeight="true" outlineLevel="0" collapsed="false">
      <c r="A2" s="11" t="s">
        <v>40</v>
      </c>
      <c r="B2" s="11" t="s">
        <v>760</v>
      </c>
      <c r="C2" s="11" t="s">
        <v>217</v>
      </c>
      <c r="D2" s="11" t="s">
        <v>774</v>
      </c>
      <c r="E2" s="11" t="s">
        <v>187</v>
      </c>
      <c r="F2" s="11" t="s">
        <v>775</v>
      </c>
      <c r="G2" s="11" t="s">
        <v>191</v>
      </c>
      <c r="H2" s="11" t="s">
        <v>776</v>
      </c>
      <c r="I2" s="11" t="s">
        <v>777</v>
      </c>
      <c r="J2" s="11" t="s">
        <v>194</v>
      </c>
      <c r="K2" s="11" t="s">
        <v>198</v>
      </c>
      <c r="L2" s="11" t="s">
        <v>202</v>
      </c>
      <c r="M2" s="11" t="s">
        <v>778</v>
      </c>
    </row>
    <row r="3" customFormat="false" ht="15" hidden="false" customHeight="true" outlineLevel="0" collapsed="false">
      <c r="A3" s="19" t="str">
        <f aca="false">'5 Format Standar'!C3</f>
        <v>P-0001</v>
      </c>
      <c r="B3" s="19" t="str">
        <f aca="false">'5 Format Standar'!A3</f>
        <v>NUSA HPV</v>
      </c>
      <c r="C3" s="19" t="str">
        <f aca="false">'5 Format Standar'!M3</f>
        <v>Negatif</v>
      </c>
      <c r="D3" s="25" t="n">
        <f aca="false">'5 Format Standar'!O3</f>
        <v>46300</v>
      </c>
      <c r="E3" s="25"/>
      <c r="F3" s="19" t="str">
        <f aca="false">IF(ISNUMBER(E3),E3-D3,"")</f>
        <v/>
      </c>
      <c r="G3" s="25"/>
      <c r="H3" s="19" t="str">
        <f aca="false">IF(ISNUMBER(G3),G3-D3,"")</f>
        <v/>
      </c>
      <c r="I3" s="19" t="str">
        <f aca="false">IF(OR(C3="Positif 16/18",C3="Positif lain"),IF(AND(ISNUMBER(H3),H3&lt;='Baca Dulu'!$B$16),"Ya","Tidak"),"")</f>
        <v/>
      </c>
      <c r="J3" s="19"/>
      <c r="K3" s="19"/>
      <c r="L3" s="19"/>
      <c r="M3" s="25" t="n">
        <f aca="false">IF(C3="Negatif",DATE(YEAR(D3)+'Baca Dulu'!$B$17,MONTH(D3),DAY(D3)),IF(AND(C3="Positif lain",J3="Negatif"),DATE(YEAR(G3)+'Baca Dulu'!$B$18,MONTH(G3),DAY(G3)),IF(AND(C3="Positif 16/18",J3="Negatif"),DATE(YEAR(G3)+'Baca Dulu'!$B$19,MONTH(G3),DAY(G3)),IF(C3="Invalid","Ambil ulang","Ditentukan bidan"))))</f>
        <v>49953</v>
      </c>
    </row>
    <row r="4" customFormat="false" ht="15" hidden="false" customHeight="true" outlineLevel="0" collapsed="false">
      <c r="A4" s="19" t="str">
        <f aca="false">'5 Format Standar'!C4</f>
        <v>P-0002</v>
      </c>
      <c r="B4" s="19" t="str">
        <f aca="false">'5 Format Standar'!A4</f>
        <v>NUSA HPV</v>
      </c>
      <c r="C4" s="19" t="str">
        <f aca="false">'5 Format Standar'!M4</f>
        <v>Negatif</v>
      </c>
      <c r="D4" s="25" t="n">
        <f aca="false">'5 Format Standar'!O4</f>
        <v>46303</v>
      </c>
      <c r="E4" s="25"/>
      <c r="F4" s="19" t="str">
        <f aca="false">IF(ISNUMBER(E4),E4-D4,"")</f>
        <v/>
      </c>
      <c r="G4" s="25"/>
      <c r="H4" s="19" t="str">
        <f aca="false">IF(ISNUMBER(G4),G4-D4,"")</f>
        <v/>
      </c>
      <c r="I4" s="19" t="str">
        <f aca="false">IF(OR(C4="Positif 16/18",C4="Positif lain"),IF(AND(ISNUMBER(H4),H4&lt;='Baca Dulu'!$B$16),"Ya","Tidak"),"")</f>
        <v/>
      </c>
      <c r="J4" s="19"/>
      <c r="K4" s="19"/>
      <c r="L4" s="19"/>
      <c r="M4" s="25" t="n">
        <f aca="false">IF(C4="Negatif",DATE(YEAR(D4)+'Baca Dulu'!$B$17,MONTH(D4),DAY(D4)),IF(AND(C4="Positif lain",J4="Negatif"),DATE(YEAR(G4)+'Baca Dulu'!$B$18,MONTH(G4),DAY(G4)),IF(AND(C4="Positif 16/18",J4="Negatif"),DATE(YEAR(G4)+'Baca Dulu'!$B$19,MONTH(G4),DAY(G4)),IF(C4="Invalid","Ambil ulang","Ditentukan bidan"))))</f>
        <v>49956</v>
      </c>
    </row>
    <row r="5" customFormat="false" ht="15" hidden="false" customHeight="true" outlineLevel="0" collapsed="false">
      <c r="A5" s="19" t="str">
        <f aca="false">'5 Format Standar'!C5</f>
        <v>P-0003</v>
      </c>
      <c r="B5" s="19" t="str">
        <f aca="false">'5 Format Standar'!A5</f>
        <v>NUSA HPV</v>
      </c>
      <c r="C5" s="19" t="str">
        <f aca="false">'5 Format Standar'!M5</f>
        <v>Negatif</v>
      </c>
      <c r="D5" s="25" t="n">
        <f aca="false">'5 Format Standar'!O5</f>
        <v>46302</v>
      </c>
      <c r="E5" s="25"/>
      <c r="F5" s="19" t="str">
        <f aca="false">IF(ISNUMBER(E5),E5-D5,"")</f>
        <v/>
      </c>
      <c r="G5" s="25"/>
      <c r="H5" s="19" t="str">
        <f aca="false">IF(ISNUMBER(G5),G5-D5,"")</f>
        <v/>
      </c>
      <c r="I5" s="19" t="str">
        <f aca="false">IF(OR(C5="Positif 16/18",C5="Positif lain"),IF(AND(ISNUMBER(H5),H5&lt;='Baca Dulu'!$B$16),"Ya","Tidak"),"")</f>
        <v/>
      </c>
      <c r="J5" s="19"/>
      <c r="K5" s="19"/>
      <c r="L5" s="19"/>
      <c r="M5" s="25" t="n">
        <f aca="false">IF(C5="Negatif",DATE(YEAR(D5)+'Baca Dulu'!$B$17,MONTH(D5),DAY(D5)),IF(AND(C5="Positif lain",J5="Negatif"),DATE(YEAR(G5)+'Baca Dulu'!$B$18,MONTH(G5),DAY(G5)),IF(AND(C5="Positif 16/18",J5="Negatif"),DATE(YEAR(G5)+'Baca Dulu'!$B$19,MONTH(G5),DAY(G5)),IF(C5="Invalid","Ambil ulang","Ditentukan bidan"))))</f>
        <v>49955</v>
      </c>
    </row>
    <row r="6" customFormat="false" ht="15" hidden="false" customHeight="true" outlineLevel="0" collapsed="false">
      <c r="A6" s="19" t="str">
        <f aca="false">'5 Format Standar'!C6</f>
        <v>P-0004</v>
      </c>
      <c r="B6" s="19" t="str">
        <f aca="false">'5 Format Standar'!A6</f>
        <v>NUSA HPV</v>
      </c>
      <c r="C6" s="19" t="str">
        <f aca="false">'5 Format Standar'!M6</f>
        <v>Negatif</v>
      </c>
      <c r="D6" s="25" t="n">
        <f aca="false">'5 Format Standar'!O6</f>
        <v>46309</v>
      </c>
      <c r="E6" s="25"/>
      <c r="F6" s="19" t="str">
        <f aca="false">IF(ISNUMBER(E6),E6-D6,"")</f>
        <v/>
      </c>
      <c r="G6" s="25"/>
      <c r="H6" s="19" t="str">
        <f aca="false">IF(ISNUMBER(G6),G6-D6,"")</f>
        <v/>
      </c>
      <c r="I6" s="19" t="str">
        <f aca="false">IF(OR(C6="Positif 16/18",C6="Positif lain"),IF(AND(ISNUMBER(H6),H6&lt;='Baca Dulu'!$B$16),"Ya","Tidak"),"")</f>
        <v/>
      </c>
      <c r="J6" s="19"/>
      <c r="K6" s="19"/>
      <c r="L6" s="19"/>
      <c r="M6" s="25" t="n">
        <f aca="false">IF(C6="Negatif",DATE(YEAR(D6)+'Baca Dulu'!$B$17,MONTH(D6),DAY(D6)),IF(AND(C6="Positif lain",J6="Negatif"),DATE(YEAR(G6)+'Baca Dulu'!$B$18,MONTH(G6),DAY(G6)),IF(AND(C6="Positif 16/18",J6="Negatif"),DATE(YEAR(G6)+'Baca Dulu'!$B$19,MONTH(G6),DAY(G6)),IF(C6="Invalid","Ambil ulang","Ditentukan bidan"))))</f>
        <v>49962</v>
      </c>
    </row>
    <row r="7" customFormat="false" ht="15" hidden="false" customHeight="true" outlineLevel="0" collapsed="false">
      <c r="A7" s="19" t="str">
        <f aca="false">'5 Format Standar'!C7</f>
        <v>P-0005</v>
      </c>
      <c r="B7" s="19" t="str">
        <f aca="false">'5 Format Standar'!A7</f>
        <v>NUSA HPV</v>
      </c>
      <c r="C7" s="19" t="str">
        <f aca="false">'5 Format Standar'!M7</f>
        <v>Negatif</v>
      </c>
      <c r="D7" s="25" t="n">
        <f aca="false">'5 Format Standar'!O7</f>
        <v>46303</v>
      </c>
      <c r="E7" s="25"/>
      <c r="F7" s="19" t="str">
        <f aca="false">IF(ISNUMBER(E7),E7-D7,"")</f>
        <v/>
      </c>
      <c r="G7" s="25"/>
      <c r="H7" s="19" t="str">
        <f aca="false">IF(ISNUMBER(G7),G7-D7,"")</f>
        <v/>
      </c>
      <c r="I7" s="19" t="str">
        <f aca="false">IF(OR(C7="Positif 16/18",C7="Positif lain"),IF(AND(ISNUMBER(H7),H7&lt;='Baca Dulu'!$B$16),"Ya","Tidak"),"")</f>
        <v/>
      </c>
      <c r="J7" s="19"/>
      <c r="K7" s="19"/>
      <c r="L7" s="19"/>
      <c r="M7" s="25" t="n">
        <f aca="false">IF(C7="Negatif",DATE(YEAR(D7)+'Baca Dulu'!$B$17,MONTH(D7),DAY(D7)),IF(AND(C7="Positif lain",J7="Negatif"),DATE(YEAR(G7)+'Baca Dulu'!$B$18,MONTH(G7),DAY(G7)),IF(AND(C7="Positif 16/18",J7="Negatif"),DATE(YEAR(G7)+'Baca Dulu'!$B$19,MONTH(G7),DAY(G7)),IF(C7="Invalid","Ambil ulang","Ditentukan bidan"))))</f>
        <v>49956</v>
      </c>
    </row>
    <row r="8" customFormat="false" ht="15" hidden="false" customHeight="true" outlineLevel="0" collapsed="false">
      <c r="A8" s="19" t="str">
        <f aca="false">'5 Format Standar'!C8</f>
        <v>P-0006</v>
      </c>
      <c r="B8" s="19" t="str">
        <f aca="false">'5 Format Standar'!A8</f>
        <v>NUSA HPV</v>
      </c>
      <c r="C8" s="19" t="str">
        <f aca="false">'5 Format Standar'!M8</f>
        <v>Negatif</v>
      </c>
      <c r="D8" s="25" t="n">
        <f aca="false">'5 Format Standar'!O8</f>
        <v>46303</v>
      </c>
      <c r="E8" s="25"/>
      <c r="F8" s="19" t="str">
        <f aca="false">IF(ISNUMBER(E8),E8-D8,"")</f>
        <v/>
      </c>
      <c r="G8" s="25"/>
      <c r="H8" s="19" t="str">
        <f aca="false">IF(ISNUMBER(G8),G8-D8,"")</f>
        <v/>
      </c>
      <c r="I8" s="19" t="str">
        <f aca="false">IF(OR(C8="Positif 16/18",C8="Positif lain"),IF(AND(ISNUMBER(H8),H8&lt;='Baca Dulu'!$B$16),"Ya","Tidak"),"")</f>
        <v/>
      </c>
      <c r="J8" s="19"/>
      <c r="K8" s="19"/>
      <c r="L8" s="19"/>
      <c r="M8" s="25" t="n">
        <f aca="false">IF(C8="Negatif",DATE(YEAR(D8)+'Baca Dulu'!$B$17,MONTH(D8),DAY(D8)),IF(AND(C8="Positif lain",J8="Negatif"),DATE(YEAR(G8)+'Baca Dulu'!$B$18,MONTH(G8),DAY(G8)),IF(AND(C8="Positif 16/18",J8="Negatif"),DATE(YEAR(G8)+'Baca Dulu'!$B$19,MONTH(G8),DAY(G8)),IF(C8="Invalid","Ambil ulang","Ditentukan bidan"))))</f>
        <v>49956</v>
      </c>
    </row>
    <row r="9" customFormat="false" ht="15" hidden="false" customHeight="true" outlineLevel="0" collapsed="false">
      <c r="A9" s="19" t="str">
        <f aca="false">'5 Format Standar'!C9</f>
        <v>P-0007</v>
      </c>
      <c r="B9" s="19" t="str">
        <f aca="false">'5 Format Standar'!A9</f>
        <v>NUSA HPV</v>
      </c>
      <c r="C9" s="19" t="str">
        <f aca="false">'5 Format Standar'!M9</f>
        <v>Negatif</v>
      </c>
      <c r="D9" s="25" t="n">
        <f aca="false">'5 Format Standar'!O9</f>
        <v>46306</v>
      </c>
      <c r="E9" s="25"/>
      <c r="F9" s="19" t="str">
        <f aca="false">IF(ISNUMBER(E9),E9-D9,"")</f>
        <v/>
      </c>
      <c r="G9" s="25"/>
      <c r="H9" s="19" t="str">
        <f aca="false">IF(ISNUMBER(G9),G9-D9,"")</f>
        <v/>
      </c>
      <c r="I9" s="19" t="str">
        <f aca="false">IF(OR(C9="Positif 16/18",C9="Positif lain"),IF(AND(ISNUMBER(H9),H9&lt;='Baca Dulu'!$B$16),"Ya","Tidak"),"")</f>
        <v/>
      </c>
      <c r="J9" s="19"/>
      <c r="K9" s="19"/>
      <c r="L9" s="19"/>
      <c r="M9" s="25" t="n">
        <f aca="false">IF(C9="Negatif",DATE(YEAR(D9)+'Baca Dulu'!$B$17,MONTH(D9),DAY(D9)),IF(AND(C9="Positif lain",J9="Negatif"),DATE(YEAR(G9)+'Baca Dulu'!$B$18,MONTH(G9),DAY(G9)),IF(AND(C9="Positif 16/18",J9="Negatif"),DATE(YEAR(G9)+'Baca Dulu'!$B$19,MONTH(G9),DAY(G9)),IF(C9="Invalid","Ambil ulang","Ditentukan bidan"))))</f>
        <v>49959</v>
      </c>
    </row>
    <row r="10" customFormat="false" ht="15" hidden="false" customHeight="true" outlineLevel="0" collapsed="false">
      <c r="A10" s="19" t="str">
        <f aca="false">'5 Format Standar'!C10</f>
        <v>P-0008</v>
      </c>
      <c r="B10" s="19" t="str">
        <f aca="false">'5 Format Standar'!A10</f>
        <v>NUSA HPV</v>
      </c>
      <c r="C10" s="19" t="str">
        <f aca="false">'5 Format Standar'!M10</f>
        <v>Positif lain</v>
      </c>
      <c r="D10" s="25" t="n">
        <f aca="false">'5 Format Standar'!O10</f>
        <v>46307</v>
      </c>
      <c r="E10" s="20" t="n">
        <f aca="false">D10+1</f>
        <v>46308</v>
      </c>
      <c r="F10" s="19" t="n">
        <f aca="false">IF(ISNUMBER(E10),E10-D10,"")</f>
        <v>1</v>
      </c>
      <c r="G10" s="20" t="n">
        <f aca="false">D10+12</f>
        <v>46319</v>
      </c>
      <c r="H10" s="19" t="n">
        <f aca="false">IF(ISNUMBER(G10),G10-D10,"")</f>
        <v>12</v>
      </c>
      <c r="I10" s="19" t="str">
        <f aca="false">IF(OR(C10="Positif 16/18",C10="Positif lain"),IF(AND(ISNUMBER(H10),H10&lt;='Baca Dulu'!$B$16),"Ya","Tidak"),"")</f>
        <v>Ya</v>
      </c>
      <c r="J10" s="17" t="s">
        <v>263</v>
      </c>
      <c r="K10" s="17" t="s">
        <v>779</v>
      </c>
      <c r="L10" s="17" t="s">
        <v>780</v>
      </c>
      <c r="M10" s="25" t="n">
        <f aca="false">IF(C10="Negatif",DATE(YEAR(D10)+'Baca Dulu'!$B$17,MONTH(D10),DAY(D10)),IF(AND(C10="Positif lain",J10="Negatif"),DATE(YEAR(G10)+'Baca Dulu'!$B$18,MONTH(G10),DAY(G10)),IF(AND(C10="Positif 16/18",J10="Negatif"),DATE(YEAR(G10)+'Baca Dulu'!$B$19,MONTH(G10),DAY(G10)),IF(C10="Invalid","Ambil ulang","Ditentukan bidan"))))</f>
        <v>47415</v>
      </c>
    </row>
    <row r="11" customFormat="false" ht="15" hidden="false" customHeight="true" outlineLevel="0" collapsed="false">
      <c r="A11" s="19" t="str">
        <f aca="false">'5 Format Standar'!C11</f>
        <v>P-0009</v>
      </c>
      <c r="B11" s="19" t="str">
        <f aca="false">'5 Format Standar'!A11</f>
        <v>NUSA HPV</v>
      </c>
      <c r="C11" s="19" t="str">
        <f aca="false">'5 Format Standar'!M11</f>
        <v>Negatif</v>
      </c>
      <c r="D11" s="25" t="n">
        <f aca="false">'5 Format Standar'!O11</f>
        <v>46306</v>
      </c>
      <c r="E11" s="25"/>
      <c r="F11" s="19" t="str">
        <f aca="false">IF(ISNUMBER(E11),E11-D11,"")</f>
        <v/>
      </c>
      <c r="G11" s="25"/>
      <c r="H11" s="19" t="str">
        <f aca="false">IF(ISNUMBER(G11),G11-D11,"")</f>
        <v/>
      </c>
      <c r="I11" s="19" t="str">
        <f aca="false">IF(OR(C11="Positif 16/18",C11="Positif lain"),IF(AND(ISNUMBER(H11),H11&lt;='Baca Dulu'!$B$16),"Ya","Tidak"),"")</f>
        <v/>
      </c>
      <c r="J11" s="19"/>
      <c r="K11" s="19"/>
      <c r="L11" s="19"/>
      <c r="M11" s="25" t="n">
        <f aca="false">IF(C11="Negatif",DATE(YEAR(D11)+'Baca Dulu'!$B$17,MONTH(D11),DAY(D11)),IF(AND(C11="Positif lain",J11="Negatif"),DATE(YEAR(G11)+'Baca Dulu'!$B$18,MONTH(G11),DAY(G11)),IF(AND(C11="Positif 16/18",J11="Negatif"),DATE(YEAR(G11)+'Baca Dulu'!$B$19,MONTH(G11),DAY(G11)),IF(C11="Invalid","Ambil ulang","Ditentukan bidan"))))</f>
        <v>49959</v>
      </c>
    </row>
    <row r="12" customFormat="false" ht="15" hidden="false" customHeight="true" outlineLevel="0" collapsed="false">
      <c r="A12" s="19" t="str">
        <f aca="false">'5 Format Standar'!C12</f>
        <v>P-0010</v>
      </c>
      <c r="B12" s="19" t="str">
        <f aca="false">'5 Format Standar'!A12</f>
        <v>NUSA HPV</v>
      </c>
      <c r="C12" s="19" t="str">
        <f aca="false">'5 Format Standar'!M12</f>
        <v>Negatif</v>
      </c>
      <c r="D12" s="25" t="n">
        <f aca="false">'5 Format Standar'!O12</f>
        <v>46307</v>
      </c>
      <c r="E12" s="25"/>
      <c r="F12" s="19" t="str">
        <f aca="false">IF(ISNUMBER(E12),E12-D12,"")</f>
        <v/>
      </c>
      <c r="G12" s="25"/>
      <c r="H12" s="19" t="str">
        <f aca="false">IF(ISNUMBER(G12),G12-D12,"")</f>
        <v/>
      </c>
      <c r="I12" s="19" t="str">
        <f aca="false">IF(OR(C12="Positif 16/18",C12="Positif lain"),IF(AND(ISNUMBER(H12),H12&lt;='Baca Dulu'!$B$16),"Ya","Tidak"),"")</f>
        <v/>
      </c>
      <c r="J12" s="19"/>
      <c r="K12" s="19"/>
      <c r="L12" s="19"/>
      <c r="M12" s="25" t="n">
        <f aca="false">IF(C12="Negatif",DATE(YEAR(D12)+'Baca Dulu'!$B$17,MONTH(D12),DAY(D12)),IF(AND(C12="Positif lain",J12="Negatif"),DATE(YEAR(G12)+'Baca Dulu'!$B$18,MONTH(G12),DAY(G12)),IF(AND(C12="Positif 16/18",J12="Negatif"),DATE(YEAR(G12)+'Baca Dulu'!$B$19,MONTH(G12),DAY(G12)),IF(C12="Invalid","Ambil ulang","Ditentukan bidan"))))</f>
        <v>49960</v>
      </c>
    </row>
    <row r="13" customFormat="false" ht="15" hidden="false" customHeight="true" outlineLevel="0" collapsed="false">
      <c r="A13" s="19" t="str">
        <f aca="false">'5 Format Standar'!C13</f>
        <v>P-0011</v>
      </c>
      <c r="B13" s="19" t="str">
        <f aca="false">'5 Format Standar'!A13</f>
        <v>NUSA HPV</v>
      </c>
      <c r="C13" s="19" t="str">
        <f aca="false">'5 Format Standar'!M13</f>
        <v>Positif lain</v>
      </c>
      <c r="D13" s="25" t="n">
        <f aca="false">'5 Format Standar'!O13</f>
        <v>46301</v>
      </c>
      <c r="E13" s="20" t="n">
        <f aca="false">D13+2</f>
        <v>46303</v>
      </c>
      <c r="F13" s="19" t="n">
        <f aca="false">IF(ISNUMBER(E13),E13-D13,"")</f>
        <v>2</v>
      </c>
      <c r="G13" s="20" t="n">
        <f aca="false">D13+25</f>
        <v>46326</v>
      </c>
      <c r="H13" s="19" t="n">
        <f aca="false">IF(ISNUMBER(G13),G13-D13,"")</f>
        <v>25</v>
      </c>
      <c r="I13" s="19" t="str">
        <f aca="false">IF(OR(C13="Positif 16/18",C13="Positif lain"),IF(AND(ISNUMBER(H13),H13&lt;='Baca Dulu'!$B$16),"Ya","Tidak"),"")</f>
        <v>Ya</v>
      </c>
      <c r="J13" s="17" t="s">
        <v>781</v>
      </c>
      <c r="K13" s="17" t="s">
        <v>782</v>
      </c>
      <c r="L13" s="17" t="s">
        <v>780</v>
      </c>
      <c r="M13" s="25" t="str">
        <f aca="false">IF(C13="Negatif",DATE(YEAR(D13)+'Baca Dulu'!$B$17,MONTH(D13),DAY(D13)),IF(AND(C13="Positif lain",J13="Negatif"),DATE(YEAR(G13)+'Baca Dulu'!$B$18,MONTH(G13),DAY(G13)),IF(AND(C13="Positif 16/18",J13="Negatif"),DATE(YEAR(G13)+'Baca Dulu'!$B$19,MONTH(G13),DAY(G13)),IF(C13="Invalid","Ambil ulang","Ditentukan bidan"))))</f>
        <v>Ditentukan bidan</v>
      </c>
    </row>
    <row r="14" customFormat="false" ht="15" hidden="false" customHeight="true" outlineLevel="0" collapsed="false">
      <c r="A14" s="19" t="str">
        <f aca="false">'5 Format Standar'!C14</f>
        <v>P-0012</v>
      </c>
      <c r="B14" s="19" t="str">
        <f aca="false">'5 Format Standar'!A14</f>
        <v>NUSA HPV</v>
      </c>
      <c r="C14" s="19" t="str">
        <f aca="false">'5 Format Standar'!M14</f>
        <v>Negatif</v>
      </c>
      <c r="D14" s="25" t="n">
        <f aca="false">'5 Format Standar'!O14</f>
        <v>46305</v>
      </c>
      <c r="E14" s="25"/>
      <c r="F14" s="19" t="str">
        <f aca="false">IF(ISNUMBER(E14),E14-D14,"")</f>
        <v/>
      </c>
      <c r="G14" s="25"/>
      <c r="H14" s="19" t="str">
        <f aca="false">IF(ISNUMBER(G14),G14-D14,"")</f>
        <v/>
      </c>
      <c r="I14" s="19" t="str">
        <f aca="false">IF(OR(C14="Positif 16/18",C14="Positif lain"),IF(AND(ISNUMBER(H14),H14&lt;='Baca Dulu'!$B$16),"Ya","Tidak"),"")</f>
        <v/>
      </c>
      <c r="J14" s="19"/>
      <c r="K14" s="19"/>
      <c r="L14" s="19"/>
      <c r="M14" s="25" t="n">
        <f aca="false">IF(C14="Negatif",DATE(YEAR(D14)+'Baca Dulu'!$B$17,MONTH(D14),DAY(D14)),IF(AND(C14="Positif lain",J14="Negatif"),DATE(YEAR(G14)+'Baca Dulu'!$B$18,MONTH(G14),DAY(G14)),IF(AND(C14="Positif 16/18",J14="Negatif"),DATE(YEAR(G14)+'Baca Dulu'!$B$19,MONTH(G14),DAY(G14)),IF(C14="Invalid","Ambil ulang","Ditentukan bidan"))))</f>
        <v>49958</v>
      </c>
    </row>
    <row r="15" customFormat="false" ht="15" hidden="false" customHeight="true" outlineLevel="0" collapsed="false">
      <c r="A15" s="19" t="str">
        <f aca="false">'5 Format Standar'!C15</f>
        <v>P-0013</v>
      </c>
      <c r="B15" s="19" t="str">
        <f aca="false">'5 Format Standar'!A15</f>
        <v>NUSA HPV</v>
      </c>
      <c r="C15" s="19" t="str">
        <f aca="false">'5 Format Standar'!M15</f>
        <v>Negatif</v>
      </c>
      <c r="D15" s="25" t="n">
        <f aca="false">'5 Format Standar'!O15</f>
        <v>46309</v>
      </c>
      <c r="E15" s="25"/>
      <c r="F15" s="19" t="str">
        <f aca="false">IF(ISNUMBER(E15),E15-D15,"")</f>
        <v/>
      </c>
      <c r="G15" s="25"/>
      <c r="H15" s="19" t="str">
        <f aca="false">IF(ISNUMBER(G15),G15-D15,"")</f>
        <v/>
      </c>
      <c r="I15" s="19" t="str">
        <f aca="false">IF(OR(C15="Positif 16/18",C15="Positif lain"),IF(AND(ISNUMBER(H15),H15&lt;='Baca Dulu'!$B$16),"Ya","Tidak"),"")</f>
        <v/>
      </c>
      <c r="J15" s="19"/>
      <c r="K15" s="19"/>
      <c r="L15" s="19"/>
      <c r="M15" s="25" t="n">
        <f aca="false">IF(C15="Negatif",DATE(YEAR(D15)+'Baca Dulu'!$B$17,MONTH(D15),DAY(D15)),IF(AND(C15="Positif lain",J15="Negatif"),DATE(YEAR(G15)+'Baca Dulu'!$B$18,MONTH(G15),DAY(G15)),IF(AND(C15="Positif 16/18",J15="Negatif"),DATE(YEAR(G15)+'Baca Dulu'!$B$19,MONTH(G15),DAY(G15)),IF(C15="Invalid","Ambil ulang","Ditentukan bidan"))))</f>
        <v>49962</v>
      </c>
    </row>
    <row r="16" customFormat="false" ht="15" hidden="false" customHeight="true" outlineLevel="0" collapsed="false">
      <c r="A16" s="19" t="str">
        <f aca="false">'5 Format Standar'!C16</f>
        <v>P-0014</v>
      </c>
      <c r="B16" s="19" t="str">
        <f aca="false">'5 Format Standar'!A16</f>
        <v>NUSA HPV</v>
      </c>
      <c r="C16" s="19" t="str">
        <f aca="false">'5 Format Standar'!M16</f>
        <v>Positif lain</v>
      </c>
      <c r="D16" s="25" t="n">
        <f aca="false">'5 Format Standar'!O16</f>
        <v>46309</v>
      </c>
      <c r="E16" s="20" t="n">
        <f aca="false">D16+1</f>
        <v>46310</v>
      </c>
      <c r="F16" s="19" t="n">
        <f aca="false">IF(ISNUMBER(E16),E16-D16,"")</f>
        <v>1</v>
      </c>
      <c r="G16" s="20" t="n">
        <f aca="false">D16+18</f>
        <v>46327</v>
      </c>
      <c r="H16" s="19" t="n">
        <f aca="false">IF(ISNUMBER(G16),G16-D16,"")</f>
        <v>18</v>
      </c>
      <c r="I16" s="19" t="str">
        <f aca="false">IF(OR(C16="Positif 16/18",C16="Positif lain"),IF(AND(ISNUMBER(H16),H16&lt;='Baca Dulu'!$B$16),"Ya","Tidak"),"")</f>
        <v>Ya</v>
      </c>
      <c r="J16" s="17" t="s">
        <v>263</v>
      </c>
      <c r="K16" s="17" t="s">
        <v>779</v>
      </c>
      <c r="L16" s="17" t="s">
        <v>780</v>
      </c>
      <c r="M16" s="25" t="n">
        <f aca="false">IF(C16="Negatif",DATE(YEAR(D16)+'Baca Dulu'!$B$17,MONTH(D16),DAY(D16)),IF(AND(C16="Positif lain",J16="Negatif"),DATE(YEAR(G16)+'Baca Dulu'!$B$18,MONTH(G16),DAY(G16)),IF(AND(C16="Positif 16/18",J16="Negatif"),DATE(YEAR(G16)+'Baca Dulu'!$B$19,MONTH(G16),DAY(G16)),IF(C16="Invalid","Ambil ulang","Ditentukan bidan"))))</f>
        <v>47423</v>
      </c>
    </row>
    <row r="17" customFormat="false" ht="15" hidden="false" customHeight="true" outlineLevel="0" collapsed="false">
      <c r="A17" s="19" t="str">
        <f aca="false">'5 Format Standar'!C17</f>
        <v>P-0015</v>
      </c>
      <c r="B17" s="19" t="str">
        <f aca="false">'5 Format Standar'!A17</f>
        <v>NUSA HPV</v>
      </c>
      <c r="C17" s="19" t="str">
        <f aca="false">'5 Format Standar'!M17</f>
        <v>Negatif</v>
      </c>
      <c r="D17" s="25" t="n">
        <f aca="false">'5 Format Standar'!O17</f>
        <v>46301</v>
      </c>
      <c r="E17" s="25"/>
      <c r="F17" s="19" t="str">
        <f aca="false">IF(ISNUMBER(E17),E17-D17,"")</f>
        <v/>
      </c>
      <c r="G17" s="25"/>
      <c r="H17" s="19" t="str">
        <f aca="false">IF(ISNUMBER(G17),G17-D17,"")</f>
        <v/>
      </c>
      <c r="I17" s="19" t="str">
        <f aca="false">IF(OR(C17="Positif 16/18",C17="Positif lain"),IF(AND(ISNUMBER(H17),H17&lt;='Baca Dulu'!$B$16),"Ya","Tidak"),"")</f>
        <v/>
      </c>
      <c r="J17" s="19"/>
      <c r="K17" s="19"/>
      <c r="L17" s="19"/>
      <c r="M17" s="25" t="n">
        <f aca="false">IF(C17="Negatif",DATE(YEAR(D17)+'Baca Dulu'!$B$17,MONTH(D17),DAY(D17)),IF(AND(C17="Positif lain",J17="Negatif"),DATE(YEAR(G17)+'Baca Dulu'!$B$18,MONTH(G17),DAY(G17)),IF(AND(C17="Positif 16/18",J17="Negatif"),DATE(YEAR(G17)+'Baca Dulu'!$B$19,MONTH(G17),DAY(G17)),IF(C17="Invalid","Ambil ulang","Ditentukan bidan"))))</f>
        <v>49954</v>
      </c>
    </row>
    <row r="18" customFormat="false" ht="15" hidden="false" customHeight="true" outlineLevel="0" collapsed="false">
      <c r="A18" s="19" t="str">
        <f aca="false">'5 Format Standar'!C18</f>
        <v>P-0016</v>
      </c>
      <c r="B18" s="19" t="str">
        <f aca="false">'5 Format Standar'!A18</f>
        <v>NUSA HPV</v>
      </c>
      <c r="C18" s="19" t="str">
        <f aca="false">'5 Format Standar'!M18</f>
        <v>Positif 16/18</v>
      </c>
      <c r="D18" s="25" t="n">
        <f aca="false">'5 Format Standar'!O18</f>
        <v>46300</v>
      </c>
      <c r="E18" s="20" t="n">
        <f aca="false">D18+3</f>
        <v>46303</v>
      </c>
      <c r="F18" s="19" t="n">
        <f aca="false">IF(ISNUMBER(E18),E18-D18,"")</f>
        <v>3</v>
      </c>
      <c r="G18" s="20"/>
      <c r="H18" s="19" t="str">
        <f aca="false">IF(ISNUMBER(G18),G18-D18,"")</f>
        <v/>
      </c>
      <c r="I18" s="19" t="str">
        <f aca="false">IF(OR(C18="Positif 16/18",C18="Positif lain"),IF(AND(ISNUMBER(H18),H18&lt;='Baca Dulu'!$B$16),"Ya","Tidak"),"")</f>
        <v>Tidak</v>
      </c>
      <c r="J18" s="17"/>
      <c r="K18" s="17"/>
      <c r="L18" s="17"/>
      <c r="M18" s="25" t="str">
        <f aca="false">IF(C18="Negatif",DATE(YEAR(D18)+'Baca Dulu'!$B$17,MONTH(D18),DAY(D18)),IF(AND(C18="Positif lain",J18="Negatif"),DATE(YEAR(G18)+'Baca Dulu'!$B$18,MONTH(G18),DAY(G18)),IF(AND(C18="Positif 16/18",J18="Negatif"),DATE(YEAR(G18)+'Baca Dulu'!$B$19,MONTH(G18),DAY(G18)),IF(C18="Invalid","Ambil ulang","Ditentukan bidan"))))</f>
        <v>Ditentukan bidan</v>
      </c>
    </row>
    <row r="19" customFormat="false" ht="15" hidden="false" customHeight="true" outlineLevel="0" collapsed="false">
      <c r="A19" s="19" t="str">
        <f aca="false">'5 Format Standar'!C19</f>
        <v>P-0017</v>
      </c>
      <c r="B19" s="19" t="str">
        <f aca="false">'5 Format Standar'!A19</f>
        <v>NUSA HPV</v>
      </c>
      <c r="C19" s="19" t="str">
        <f aca="false">'5 Format Standar'!M19</f>
        <v>Negatif</v>
      </c>
      <c r="D19" s="25" t="n">
        <f aca="false">'5 Format Standar'!O19</f>
        <v>46308</v>
      </c>
      <c r="E19" s="25"/>
      <c r="F19" s="19" t="str">
        <f aca="false">IF(ISNUMBER(E19),E19-D19,"")</f>
        <v/>
      </c>
      <c r="G19" s="25"/>
      <c r="H19" s="19" t="str">
        <f aca="false">IF(ISNUMBER(G19),G19-D19,"")</f>
        <v/>
      </c>
      <c r="I19" s="19" t="str">
        <f aca="false">IF(OR(C19="Positif 16/18",C19="Positif lain"),IF(AND(ISNUMBER(H19),H19&lt;='Baca Dulu'!$B$16),"Ya","Tidak"),"")</f>
        <v/>
      </c>
      <c r="J19" s="19"/>
      <c r="K19" s="19"/>
      <c r="L19" s="19"/>
      <c r="M19" s="25" t="n">
        <f aca="false">IF(C19="Negatif",DATE(YEAR(D19)+'Baca Dulu'!$B$17,MONTH(D19),DAY(D19)),IF(AND(C19="Positif lain",J19="Negatif"),DATE(YEAR(G19)+'Baca Dulu'!$B$18,MONTH(G19),DAY(G19)),IF(AND(C19="Positif 16/18",J19="Negatif"),DATE(YEAR(G19)+'Baca Dulu'!$B$19,MONTH(G19),DAY(G19)),IF(C19="Invalid","Ambil ulang","Ditentukan bidan"))))</f>
        <v>49961</v>
      </c>
    </row>
    <row r="20" customFormat="false" ht="15" hidden="false" customHeight="true" outlineLevel="0" collapsed="false">
      <c r="A20" s="19" t="str">
        <f aca="false">'5 Format Standar'!C20</f>
        <v>P-0018</v>
      </c>
      <c r="B20" s="19" t="str">
        <f aca="false">'5 Format Standar'!A20</f>
        <v>NUSA HPV</v>
      </c>
      <c r="C20" s="19" t="str">
        <f aca="false">'5 Format Standar'!M20</f>
        <v>Negatif</v>
      </c>
      <c r="D20" s="25" t="n">
        <f aca="false">'5 Format Standar'!O20</f>
        <v>46300</v>
      </c>
      <c r="E20" s="25"/>
      <c r="F20" s="19" t="str">
        <f aca="false">IF(ISNUMBER(E20),E20-D20,"")</f>
        <v/>
      </c>
      <c r="G20" s="25"/>
      <c r="H20" s="19" t="str">
        <f aca="false">IF(ISNUMBER(G20),G20-D20,"")</f>
        <v/>
      </c>
      <c r="I20" s="19" t="str">
        <f aca="false">IF(OR(C20="Positif 16/18",C20="Positif lain"),IF(AND(ISNUMBER(H20),H20&lt;='Baca Dulu'!$B$16),"Ya","Tidak"),"")</f>
        <v/>
      </c>
      <c r="J20" s="19"/>
      <c r="K20" s="19"/>
      <c r="L20" s="19"/>
      <c r="M20" s="25" t="n">
        <f aca="false">IF(C20="Negatif",DATE(YEAR(D20)+'Baca Dulu'!$B$17,MONTH(D20),DAY(D20)),IF(AND(C20="Positif lain",J20="Negatif"),DATE(YEAR(G20)+'Baca Dulu'!$B$18,MONTH(G20),DAY(G20)),IF(AND(C20="Positif 16/18",J20="Negatif"),DATE(YEAR(G20)+'Baca Dulu'!$B$19,MONTH(G20),DAY(G20)),IF(C20="Invalid","Ambil ulang","Ditentukan bidan"))))</f>
        <v>49953</v>
      </c>
    </row>
    <row r="21" customFormat="false" ht="15" hidden="false" customHeight="true" outlineLevel="0" collapsed="false">
      <c r="A21" s="19" t="str">
        <f aca="false">'5 Format Standar'!C21</f>
        <v>P-0019</v>
      </c>
      <c r="B21" s="19" t="str">
        <f aca="false">'5 Format Standar'!A21</f>
        <v>NUSA HPV</v>
      </c>
      <c r="C21" s="19" t="str">
        <f aca="false">'5 Format Standar'!M21</f>
        <v>Positif lain</v>
      </c>
      <c r="D21" s="25" t="n">
        <f aca="false">'5 Format Standar'!O21</f>
        <v>46305</v>
      </c>
      <c r="E21" s="20" t="n">
        <f aca="false">D21+2</f>
        <v>46307</v>
      </c>
      <c r="F21" s="19" t="n">
        <f aca="false">IF(ISNUMBER(E21),E21-D21,"")</f>
        <v>2</v>
      </c>
      <c r="G21" s="20" t="n">
        <f aca="false">D21+33</f>
        <v>46338</v>
      </c>
      <c r="H21" s="19" t="n">
        <f aca="false">IF(ISNUMBER(G21),G21-D21,"")</f>
        <v>33</v>
      </c>
      <c r="I21" s="19" t="str">
        <f aca="false">IF(OR(C21="Positif 16/18",C21="Positif lain"),IF(AND(ISNUMBER(H21),H21&lt;='Baca Dulu'!$B$16),"Ya","Tidak"),"")</f>
        <v>Ya</v>
      </c>
      <c r="J21" s="17" t="s">
        <v>263</v>
      </c>
      <c r="K21" s="17" t="s">
        <v>779</v>
      </c>
      <c r="L21" s="17" t="s">
        <v>780</v>
      </c>
      <c r="M21" s="25" t="n">
        <f aca="false">IF(C21="Negatif",DATE(YEAR(D21)+'Baca Dulu'!$B$17,MONTH(D21),DAY(D21)),IF(AND(C21="Positif lain",J21="Negatif"),DATE(YEAR(G21)+'Baca Dulu'!$B$18,MONTH(G21),DAY(G21)),IF(AND(C21="Positif 16/18",J21="Negatif"),DATE(YEAR(G21)+'Baca Dulu'!$B$19,MONTH(G21),DAY(G21)),IF(C21="Invalid","Ambil ulang","Ditentukan bidan"))))</f>
        <v>47434</v>
      </c>
    </row>
    <row r="22" customFormat="false" ht="15" hidden="false" customHeight="true" outlineLevel="0" collapsed="false">
      <c r="A22" s="19" t="str">
        <f aca="false">'5 Format Standar'!C22</f>
        <v>P-0020</v>
      </c>
      <c r="B22" s="19" t="str">
        <f aca="false">'5 Format Standar'!A22</f>
        <v>NUSA HPV</v>
      </c>
      <c r="C22" s="19" t="str">
        <f aca="false">'5 Format Standar'!M22</f>
        <v>Negatif</v>
      </c>
      <c r="D22" s="25" t="n">
        <f aca="false">'5 Format Standar'!O22</f>
        <v>46305</v>
      </c>
      <c r="E22" s="25"/>
      <c r="F22" s="19" t="str">
        <f aca="false">IF(ISNUMBER(E22),E22-D22,"")</f>
        <v/>
      </c>
      <c r="G22" s="25"/>
      <c r="H22" s="19" t="str">
        <f aca="false">IF(ISNUMBER(G22),G22-D22,"")</f>
        <v/>
      </c>
      <c r="I22" s="19" t="str">
        <f aca="false">IF(OR(C22="Positif 16/18",C22="Positif lain"),IF(AND(ISNUMBER(H22),H22&lt;='Baca Dulu'!$B$16),"Ya","Tidak"),"")</f>
        <v/>
      </c>
      <c r="J22" s="19"/>
      <c r="K22" s="19"/>
      <c r="L22" s="19"/>
      <c r="M22" s="25" t="n">
        <f aca="false">IF(C22="Negatif",DATE(YEAR(D22)+'Baca Dulu'!$B$17,MONTH(D22),DAY(D22)),IF(AND(C22="Positif lain",J22="Negatif"),DATE(YEAR(G22)+'Baca Dulu'!$B$18,MONTH(G22),DAY(G22)),IF(AND(C22="Positif 16/18",J22="Negatif"),DATE(YEAR(G22)+'Baca Dulu'!$B$19,MONTH(G22),DAY(G22)),IF(C22="Invalid","Ambil ulang","Ditentukan bidan"))))</f>
        <v>49958</v>
      </c>
    </row>
    <row r="23" customFormat="false" ht="15" hidden="false" customHeight="true" outlineLevel="0" collapsed="false">
      <c r="A23" s="19" t="str">
        <f aca="false">'5 Format Standar'!C23</f>
        <v>P-0021</v>
      </c>
      <c r="B23" s="19" t="str">
        <f aca="false">'5 Format Standar'!A23</f>
        <v>NUSA HPV</v>
      </c>
      <c r="C23" s="19" t="str">
        <f aca="false">'5 Format Standar'!M23</f>
        <v>Negatif</v>
      </c>
      <c r="D23" s="25" t="n">
        <f aca="false">'5 Format Standar'!O23</f>
        <v>46303</v>
      </c>
      <c r="E23" s="25"/>
      <c r="F23" s="19" t="str">
        <f aca="false">IF(ISNUMBER(E23),E23-D23,"")</f>
        <v/>
      </c>
      <c r="G23" s="25"/>
      <c r="H23" s="19" t="str">
        <f aca="false">IF(ISNUMBER(G23),G23-D23,"")</f>
        <v/>
      </c>
      <c r="I23" s="19" t="str">
        <f aca="false">IF(OR(C23="Positif 16/18",C23="Positif lain"),IF(AND(ISNUMBER(H23),H23&lt;='Baca Dulu'!$B$16),"Ya","Tidak"),"")</f>
        <v/>
      </c>
      <c r="J23" s="19"/>
      <c r="K23" s="19"/>
      <c r="L23" s="19"/>
      <c r="M23" s="25" t="n">
        <f aca="false">IF(C23="Negatif",DATE(YEAR(D23)+'Baca Dulu'!$B$17,MONTH(D23),DAY(D23)),IF(AND(C23="Positif lain",J23="Negatif"),DATE(YEAR(G23)+'Baca Dulu'!$B$18,MONTH(G23),DAY(G23)),IF(AND(C23="Positif 16/18",J23="Negatif"),DATE(YEAR(G23)+'Baca Dulu'!$B$19,MONTH(G23),DAY(G23)),IF(C23="Invalid","Ambil ulang","Ditentukan bidan"))))</f>
        <v>49956</v>
      </c>
    </row>
    <row r="24" customFormat="false" ht="15" hidden="false" customHeight="true" outlineLevel="0" collapsed="false">
      <c r="A24" s="19" t="str">
        <f aca="false">'5 Format Standar'!C24</f>
        <v>P-0022</v>
      </c>
      <c r="B24" s="19" t="str">
        <f aca="false">'5 Format Standar'!A24</f>
        <v>NUSA HPV</v>
      </c>
      <c r="C24" s="19" t="str">
        <f aca="false">'5 Format Standar'!M24</f>
        <v>Negatif</v>
      </c>
      <c r="D24" s="25" t="n">
        <f aca="false">'5 Format Standar'!O24</f>
        <v>46305</v>
      </c>
      <c r="E24" s="25"/>
      <c r="F24" s="19" t="str">
        <f aca="false">IF(ISNUMBER(E24),E24-D24,"")</f>
        <v/>
      </c>
      <c r="G24" s="25"/>
      <c r="H24" s="19" t="str">
        <f aca="false">IF(ISNUMBER(G24),G24-D24,"")</f>
        <v/>
      </c>
      <c r="I24" s="19" t="str">
        <f aca="false">IF(OR(C24="Positif 16/18",C24="Positif lain"),IF(AND(ISNUMBER(H24),H24&lt;='Baca Dulu'!$B$16),"Ya","Tidak"),"")</f>
        <v/>
      </c>
      <c r="J24" s="19"/>
      <c r="K24" s="19"/>
      <c r="L24" s="19"/>
      <c r="M24" s="25" t="n">
        <f aca="false">IF(C24="Negatif",DATE(YEAR(D24)+'Baca Dulu'!$B$17,MONTH(D24),DAY(D24)),IF(AND(C24="Positif lain",J24="Negatif"),DATE(YEAR(G24)+'Baca Dulu'!$B$18,MONTH(G24),DAY(G24)),IF(AND(C24="Positif 16/18",J24="Negatif"),DATE(YEAR(G24)+'Baca Dulu'!$B$19,MONTH(G24),DAY(G24)),IF(C24="Invalid","Ambil ulang","Ditentukan bidan"))))</f>
        <v>49958</v>
      </c>
    </row>
    <row r="25" customFormat="false" ht="15" hidden="false" customHeight="true" outlineLevel="0" collapsed="false">
      <c r="A25" s="19" t="str">
        <f aca="false">'5 Format Standar'!C25</f>
        <v>P-0023</v>
      </c>
      <c r="B25" s="19" t="str">
        <f aca="false">'5 Format Standar'!A25</f>
        <v>NUSA HPV</v>
      </c>
      <c r="C25" s="19" t="str">
        <f aca="false">'5 Format Standar'!M25</f>
        <v>Negatif</v>
      </c>
      <c r="D25" s="25" t="n">
        <f aca="false">'5 Format Standar'!O25</f>
        <v>46302</v>
      </c>
      <c r="E25" s="25"/>
      <c r="F25" s="19" t="str">
        <f aca="false">IF(ISNUMBER(E25),E25-D25,"")</f>
        <v/>
      </c>
      <c r="G25" s="25"/>
      <c r="H25" s="19" t="str">
        <f aca="false">IF(ISNUMBER(G25),G25-D25,"")</f>
        <v/>
      </c>
      <c r="I25" s="19" t="str">
        <f aca="false">IF(OR(C25="Positif 16/18",C25="Positif lain"),IF(AND(ISNUMBER(H25),H25&lt;='Baca Dulu'!$B$16),"Ya","Tidak"),"")</f>
        <v/>
      </c>
      <c r="J25" s="19"/>
      <c r="K25" s="19"/>
      <c r="L25" s="19"/>
      <c r="M25" s="25" t="n">
        <f aca="false">IF(C25="Negatif",DATE(YEAR(D25)+'Baca Dulu'!$B$17,MONTH(D25),DAY(D25)),IF(AND(C25="Positif lain",J25="Negatif"),DATE(YEAR(G25)+'Baca Dulu'!$B$18,MONTH(G25),DAY(G25)),IF(AND(C25="Positif 16/18",J25="Negatif"),DATE(YEAR(G25)+'Baca Dulu'!$B$19,MONTH(G25),DAY(G25)),IF(C25="Invalid","Ambil ulang","Ditentukan bidan"))))</f>
        <v>49955</v>
      </c>
    </row>
    <row r="26" customFormat="false" ht="15" hidden="false" customHeight="true" outlineLevel="0" collapsed="false">
      <c r="A26" s="19" t="str">
        <f aca="false">'5 Format Standar'!C26</f>
        <v>P-0024</v>
      </c>
      <c r="B26" s="19" t="str">
        <f aca="false">'5 Format Standar'!A26</f>
        <v>NUSA HPV</v>
      </c>
      <c r="C26" s="19" t="str">
        <f aca="false">'5 Format Standar'!M26</f>
        <v>Invalid</v>
      </c>
      <c r="D26" s="25" t="n">
        <f aca="false">'5 Format Standar'!O26</f>
        <v>46304</v>
      </c>
      <c r="E26" s="25"/>
      <c r="F26" s="19" t="str">
        <f aca="false">IF(ISNUMBER(E26),E26-D26,"")</f>
        <v/>
      </c>
      <c r="G26" s="25"/>
      <c r="H26" s="19" t="str">
        <f aca="false">IF(ISNUMBER(G26),G26-D26,"")</f>
        <v/>
      </c>
      <c r="I26" s="19" t="str">
        <f aca="false">IF(OR(C26="Positif 16/18",C26="Positif lain"),IF(AND(ISNUMBER(H26),H26&lt;='Baca Dulu'!$B$16),"Ya","Tidak"),"")</f>
        <v/>
      </c>
      <c r="J26" s="19"/>
      <c r="K26" s="19"/>
      <c r="L26" s="19"/>
      <c r="M26" s="25" t="str">
        <f aca="false">IF(C26="Negatif",DATE(YEAR(D26)+'Baca Dulu'!$B$17,MONTH(D26),DAY(D26)),IF(AND(C26="Positif lain",J26="Negatif"),DATE(YEAR(G26)+'Baca Dulu'!$B$18,MONTH(G26),DAY(G26)),IF(AND(C26="Positif 16/18",J26="Negatif"),DATE(YEAR(G26)+'Baca Dulu'!$B$19,MONTH(G26),DAY(G26)),IF(C26="Invalid","Ambil ulang","Ditentukan bidan"))))</f>
        <v>Ambil ulang</v>
      </c>
    </row>
    <row r="27" customFormat="false" ht="15" hidden="false" customHeight="true" outlineLevel="0" collapsed="false">
      <c r="A27" s="19" t="str">
        <f aca="false">'5 Format Standar'!C27</f>
        <v>P-0025</v>
      </c>
      <c r="B27" s="19" t="str">
        <f aca="false">'5 Format Standar'!A27</f>
        <v>NUSA HPV</v>
      </c>
      <c r="C27" s="19" t="str">
        <f aca="false">'5 Format Standar'!M27</f>
        <v>Positif lain</v>
      </c>
      <c r="D27" s="25" t="n">
        <f aca="false">'5 Format Standar'!O27</f>
        <v>46302</v>
      </c>
      <c r="E27" s="20" t="n">
        <f aca="false">D27+1</f>
        <v>46303</v>
      </c>
      <c r="F27" s="19" t="n">
        <f aca="false">IF(ISNUMBER(E27),E27-D27,"")</f>
        <v>1</v>
      </c>
      <c r="G27" s="20" t="n">
        <f aca="false">D27+41</f>
        <v>46343</v>
      </c>
      <c r="H27" s="19" t="n">
        <f aca="false">IF(ISNUMBER(G27),G27-D27,"")</f>
        <v>41</v>
      </c>
      <c r="I27" s="19" t="str">
        <f aca="false">IF(OR(C27="Positif 16/18",C27="Positif lain"),IF(AND(ISNUMBER(H27),H27&lt;='Baca Dulu'!$B$16),"Ya","Tidak"),"")</f>
        <v>Ya</v>
      </c>
      <c r="J27" s="17" t="s">
        <v>263</v>
      </c>
      <c r="K27" s="17" t="s">
        <v>779</v>
      </c>
      <c r="L27" s="17" t="s">
        <v>780</v>
      </c>
      <c r="M27" s="25" t="n">
        <f aca="false">IF(C27="Negatif",DATE(YEAR(D27)+'Baca Dulu'!$B$17,MONTH(D27),DAY(D27)),IF(AND(C27="Positif lain",J27="Negatif"),DATE(YEAR(G27)+'Baca Dulu'!$B$18,MONTH(G27),DAY(G27)),IF(AND(C27="Positif 16/18",J27="Negatif"),DATE(YEAR(G27)+'Baca Dulu'!$B$19,MONTH(G27),DAY(G27)),IF(C27="Invalid","Ambil ulang","Ditentukan bidan"))))</f>
        <v>47439</v>
      </c>
    </row>
    <row r="28" customFormat="false" ht="15" hidden="false" customHeight="true" outlineLevel="0" collapsed="false">
      <c r="A28" s="19" t="str">
        <f aca="false">'5 Format Standar'!C28</f>
        <v>P-0026</v>
      </c>
      <c r="B28" s="19" t="str">
        <f aca="false">'5 Format Standar'!A28</f>
        <v>NUSA HPV</v>
      </c>
      <c r="C28" s="19" t="str">
        <f aca="false">'5 Format Standar'!M28</f>
        <v>Positif 16/18</v>
      </c>
      <c r="D28" s="25" t="n">
        <f aca="false">'5 Format Standar'!O28</f>
        <v>46305</v>
      </c>
      <c r="E28" s="20" t="n">
        <f aca="false">D28+2</f>
        <v>46307</v>
      </c>
      <c r="F28" s="19" t="n">
        <f aca="false">IF(ISNUMBER(E28),E28-D28,"")</f>
        <v>2</v>
      </c>
      <c r="G28" s="20" t="n">
        <f aca="false">D28+55</f>
        <v>46360</v>
      </c>
      <c r="H28" s="19" t="n">
        <f aca="false">IF(ISNUMBER(G28),G28-D28,"")</f>
        <v>55</v>
      </c>
      <c r="I28" s="19" t="str">
        <f aca="false">IF(OR(C28="Positif 16/18",C28="Positif lain"),IF(AND(ISNUMBER(H28),H28&lt;='Baca Dulu'!$B$16),"Ya","Tidak"),"")</f>
        <v>Ya</v>
      </c>
      <c r="J28" s="17" t="s">
        <v>783</v>
      </c>
      <c r="K28" s="17" t="s">
        <v>784</v>
      </c>
      <c r="L28" s="17" t="s">
        <v>785</v>
      </c>
      <c r="M28" s="25" t="str">
        <f aca="false">IF(C28="Negatif",DATE(YEAR(D28)+'Baca Dulu'!$B$17,MONTH(D28),DAY(D28)),IF(AND(C28="Positif lain",J28="Negatif"),DATE(YEAR(G28)+'Baca Dulu'!$B$18,MONTH(G28),DAY(G28)),IF(AND(C28="Positif 16/18",J28="Negatif"),DATE(YEAR(G28)+'Baca Dulu'!$B$19,MONTH(G28),DAY(G28)),IF(C28="Invalid","Ambil ulang","Ditentukan bidan"))))</f>
        <v>Ditentukan bidan</v>
      </c>
    </row>
    <row r="29" customFormat="false" ht="15" hidden="false" customHeight="true" outlineLevel="0" collapsed="false">
      <c r="A29" s="19" t="str">
        <f aca="false">'5 Format Standar'!C29</f>
        <v>P-0027</v>
      </c>
      <c r="B29" s="19" t="str">
        <f aca="false">'5 Format Standar'!A29</f>
        <v>NUSA HPV</v>
      </c>
      <c r="C29" s="19" t="str">
        <f aca="false">'5 Format Standar'!M29</f>
        <v>Negatif</v>
      </c>
      <c r="D29" s="25" t="n">
        <f aca="false">'5 Format Standar'!O29</f>
        <v>46304</v>
      </c>
      <c r="E29" s="25"/>
      <c r="F29" s="19" t="str">
        <f aca="false">IF(ISNUMBER(E29),E29-D29,"")</f>
        <v/>
      </c>
      <c r="G29" s="25"/>
      <c r="H29" s="19" t="str">
        <f aca="false">IF(ISNUMBER(G29),G29-D29,"")</f>
        <v/>
      </c>
      <c r="I29" s="19" t="str">
        <f aca="false">IF(OR(C29="Positif 16/18",C29="Positif lain"),IF(AND(ISNUMBER(H29),H29&lt;='Baca Dulu'!$B$16),"Ya","Tidak"),"")</f>
        <v/>
      </c>
      <c r="J29" s="19"/>
      <c r="K29" s="19"/>
      <c r="L29" s="19"/>
      <c r="M29" s="25" t="n">
        <f aca="false">IF(C29="Negatif",DATE(YEAR(D29)+'Baca Dulu'!$B$17,MONTH(D29),DAY(D29)),IF(AND(C29="Positif lain",J29="Negatif"),DATE(YEAR(G29)+'Baca Dulu'!$B$18,MONTH(G29),DAY(G29)),IF(AND(C29="Positif 16/18",J29="Negatif"),DATE(YEAR(G29)+'Baca Dulu'!$B$19,MONTH(G29),DAY(G29)),IF(C29="Invalid","Ambil ulang","Ditentukan bidan"))))</f>
        <v>49957</v>
      </c>
    </row>
    <row r="30" customFormat="false" ht="15" hidden="false" customHeight="true" outlineLevel="0" collapsed="false">
      <c r="A30" s="19" t="str">
        <f aca="false">'5 Format Standar'!C30</f>
        <v>P-0028</v>
      </c>
      <c r="B30" s="19" t="str">
        <f aca="false">'5 Format Standar'!A30</f>
        <v>NUSA HPV</v>
      </c>
      <c r="C30" s="19" t="str">
        <f aca="false">'5 Format Standar'!M30</f>
        <v>Negatif</v>
      </c>
      <c r="D30" s="25" t="n">
        <f aca="false">'5 Format Standar'!O30</f>
        <v>46300</v>
      </c>
      <c r="E30" s="25"/>
      <c r="F30" s="19" t="str">
        <f aca="false">IF(ISNUMBER(E30),E30-D30,"")</f>
        <v/>
      </c>
      <c r="G30" s="25"/>
      <c r="H30" s="19" t="str">
        <f aca="false">IF(ISNUMBER(G30),G30-D30,"")</f>
        <v/>
      </c>
      <c r="I30" s="19" t="str">
        <f aca="false">IF(OR(C30="Positif 16/18",C30="Positif lain"),IF(AND(ISNUMBER(H30),H30&lt;='Baca Dulu'!$B$16),"Ya","Tidak"),"")</f>
        <v/>
      </c>
      <c r="J30" s="19"/>
      <c r="K30" s="19"/>
      <c r="L30" s="19"/>
      <c r="M30" s="25" t="n">
        <f aca="false">IF(C30="Negatif",DATE(YEAR(D30)+'Baca Dulu'!$B$17,MONTH(D30),DAY(D30)),IF(AND(C30="Positif lain",J30="Negatif"),DATE(YEAR(G30)+'Baca Dulu'!$B$18,MONTH(G30),DAY(G30)),IF(AND(C30="Positif 16/18",J30="Negatif"),DATE(YEAR(G30)+'Baca Dulu'!$B$19,MONTH(G30),DAY(G30)),IF(C30="Invalid","Ambil ulang","Ditentukan bidan"))))</f>
        <v>49953</v>
      </c>
    </row>
    <row r="31" customFormat="false" ht="15" hidden="false" customHeight="true" outlineLevel="0" collapsed="false">
      <c r="A31" s="19" t="str">
        <f aca="false">'5 Format Standar'!C31</f>
        <v>P-0029</v>
      </c>
      <c r="B31" s="19" t="str">
        <f aca="false">'5 Format Standar'!A31</f>
        <v>NUSA HPV</v>
      </c>
      <c r="C31" s="19" t="str">
        <f aca="false">'5 Format Standar'!M31</f>
        <v>Negatif</v>
      </c>
      <c r="D31" s="25" t="n">
        <f aca="false">'5 Format Standar'!O31</f>
        <v>46300</v>
      </c>
      <c r="E31" s="25"/>
      <c r="F31" s="19" t="str">
        <f aca="false">IF(ISNUMBER(E31),E31-D31,"")</f>
        <v/>
      </c>
      <c r="G31" s="25"/>
      <c r="H31" s="19" t="str">
        <f aca="false">IF(ISNUMBER(G31),G31-D31,"")</f>
        <v/>
      </c>
      <c r="I31" s="19" t="str">
        <f aca="false">IF(OR(C31="Positif 16/18",C31="Positif lain"),IF(AND(ISNUMBER(H31),H31&lt;='Baca Dulu'!$B$16),"Ya","Tidak"),"")</f>
        <v/>
      </c>
      <c r="J31" s="19"/>
      <c r="K31" s="19"/>
      <c r="L31" s="19"/>
      <c r="M31" s="25" t="n">
        <f aca="false">IF(C31="Negatif",DATE(YEAR(D31)+'Baca Dulu'!$B$17,MONTH(D31),DAY(D31)),IF(AND(C31="Positif lain",J31="Negatif"),DATE(YEAR(G31)+'Baca Dulu'!$B$18,MONTH(G31),DAY(G31)),IF(AND(C31="Positif 16/18",J31="Negatif"),DATE(YEAR(G31)+'Baca Dulu'!$B$19,MONTH(G31),DAY(G31)),IF(C31="Invalid","Ambil ulang","Ditentukan bidan"))))</f>
        <v>49953</v>
      </c>
    </row>
    <row r="32" customFormat="false" ht="15" hidden="false" customHeight="true" outlineLevel="0" collapsed="false">
      <c r="A32" s="19" t="str">
        <f aca="false">'5 Format Standar'!C32</f>
        <v>P-0030</v>
      </c>
      <c r="B32" s="19" t="str">
        <f aca="false">'5 Format Standar'!A32</f>
        <v>NUSA HPV</v>
      </c>
      <c r="C32" s="19" t="str">
        <f aca="false">'5 Format Standar'!M32</f>
        <v>Negatif</v>
      </c>
      <c r="D32" s="25" t="n">
        <f aca="false">'5 Format Standar'!O32</f>
        <v>46309</v>
      </c>
      <c r="E32" s="25"/>
      <c r="F32" s="19" t="str">
        <f aca="false">IF(ISNUMBER(E32),E32-D32,"")</f>
        <v/>
      </c>
      <c r="G32" s="25"/>
      <c r="H32" s="19" t="str">
        <f aca="false">IF(ISNUMBER(G32),G32-D32,"")</f>
        <v/>
      </c>
      <c r="I32" s="19" t="str">
        <f aca="false">IF(OR(C32="Positif 16/18",C32="Positif lain"),IF(AND(ISNUMBER(H32),H32&lt;='Baca Dulu'!$B$16),"Ya","Tidak"),"")</f>
        <v/>
      </c>
      <c r="J32" s="19"/>
      <c r="K32" s="19"/>
      <c r="L32" s="19"/>
      <c r="M32" s="25" t="n">
        <f aca="false">IF(C32="Negatif",DATE(YEAR(D32)+'Baca Dulu'!$B$17,MONTH(D32),DAY(D32)),IF(AND(C32="Positif lain",J32="Negatif"),DATE(YEAR(G32)+'Baca Dulu'!$B$18,MONTH(G32),DAY(G32)),IF(AND(C32="Positif 16/18",J32="Negatif"),DATE(YEAR(G32)+'Baca Dulu'!$B$19,MONTH(G32),DAY(G32)),IF(C32="Invalid","Ambil ulang","Ditentukan bidan"))))</f>
        <v>49962</v>
      </c>
    </row>
    <row r="33" customFormat="false" ht="15" hidden="false" customHeight="true" outlineLevel="0" collapsed="false">
      <c r="A33" s="19" t="str">
        <f aca="false">'5 Format Standar'!C33</f>
        <v>P-0031</v>
      </c>
      <c r="B33" s="19" t="str">
        <f aca="false">'5 Format Standar'!A33</f>
        <v>NUSA HPV</v>
      </c>
      <c r="C33" s="19" t="str">
        <f aca="false">'5 Format Standar'!M33</f>
        <v>Negatif</v>
      </c>
      <c r="D33" s="25" t="n">
        <f aca="false">'5 Format Standar'!O33</f>
        <v>46301</v>
      </c>
      <c r="E33" s="25"/>
      <c r="F33" s="19" t="str">
        <f aca="false">IF(ISNUMBER(E33),E33-D33,"")</f>
        <v/>
      </c>
      <c r="G33" s="25"/>
      <c r="H33" s="19" t="str">
        <f aca="false">IF(ISNUMBER(G33),G33-D33,"")</f>
        <v/>
      </c>
      <c r="I33" s="19" t="str">
        <f aca="false">IF(OR(C33="Positif 16/18",C33="Positif lain"),IF(AND(ISNUMBER(H33),H33&lt;='Baca Dulu'!$B$16),"Ya","Tidak"),"")</f>
        <v/>
      </c>
      <c r="J33" s="19"/>
      <c r="K33" s="19"/>
      <c r="L33" s="19"/>
      <c r="M33" s="25" t="n">
        <f aca="false">IF(C33="Negatif",DATE(YEAR(D33)+'Baca Dulu'!$B$17,MONTH(D33),DAY(D33)),IF(AND(C33="Positif lain",J33="Negatif"),DATE(YEAR(G33)+'Baca Dulu'!$B$18,MONTH(G33),DAY(G33)),IF(AND(C33="Positif 16/18",J33="Negatif"),DATE(YEAR(G33)+'Baca Dulu'!$B$19,MONTH(G33),DAY(G33)),IF(C33="Invalid","Ambil ulang","Ditentukan bidan"))))</f>
        <v>49954</v>
      </c>
    </row>
    <row r="34" customFormat="false" ht="15" hidden="false" customHeight="true" outlineLevel="0" collapsed="false">
      <c r="A34" s="19" t="str">
        <f aca="false">'5 Format Standar'!C34</f>
        <v>P-0032</v>
      </c>
      <c r="B34" s="19" t="str">
        <f aca="false">'5 Format Standar'!A34</f>
        <v>NUSA HPV</v>
      </c>
      <c r="C34" s="19" t="str">
        <f aca="false">'5 Format Standar'!M34</f>
        <v>Negatif</v>
      </c>
      <c r="D34" s="25" t="n">
        <f aca="false">'5 Format Standar'!O34</f>
        <v>46303</v>
      </c>
      <c r="E34" s="25"/>
      <c r="F34" s="19" t="str">
        <f aca="false">IF(ISNUMBER(E34),E34-D34,"")</f>
        <v/>
      </c>
      <c r="G34" s="25"/>
      <c r="H34" s="19" t="str">
        <f aca="false">IF(ISNUMBER(G34),G34-D34,"")</f>
        <v/>
      </c>
      <c r="I34" s="19" t="str">
        <f aca="false">IF(OR(C34="Positif 16/18",C34="Positif lain"),IF(AND(ISNUMBER(H34),H34&lt;='Baca Dulu'!$B$16),"Ya","Tidak"),"")</f>
        <v/>
      </c>
      <c r="J34" s="19"/>
      <c r="K34" s="19"/>
      <c r="L34" s="19"/>
      <c r="M34" s="25" t="n">
        <f aca="false">IF(C34="Negatif",DATE(YEAR(D34)+'Baca Dulu'!$B$17,MONTH(D34),DAY(D34)),IF(AND(C34="Positif lain",J34="Negatif"),DATE(YEAR(G34)+'Baca Dulu'!$B$18,MONTH(G34),DAY(G34)),IF(AND(C34="Positif 16/18",J34="Negatif"),DATE(YEAR(G34)+'Baca Dulu'!$B$19,MONTH(G34),DAY(G34)),IF(C34="Invalid","Ambil ulang","Ditentukan bidan"))))</f>
        <v>49956</v>
      </c>
    </row>
    <row r="35" customFormat="false" ht="15" hidden="false" customHeight="true" outlineLevel="0" collapsed="false">
      <c r="A35" s="19" t="str">
        <f aca="false">'5 Format Standar'!C35</f>
        <v>P-0033</v>
      </c>
      <c r="B35" s="19" t="str">
        <f aca="false">'5 Format Standar'!A35</f>
        <v>NUSA HPV</v>
      </c>
      <c r="C35" s="19" t="str">
        <f aca="false">'5 Format Standar'!M35</f>
        <v>Negatif</v>
      </c>
      <c r="D35" s="25" t="n">
        <f aca="false">'5 Format Standar'!O35</f>
        <v>46306</v>
      </c>
      <c r="E35" s="25"/>
      <c r="F35" s="19" t="str">
        <f aca="false">IF(ISNUMBER(E35),E35-D35,"")</f>
        <v/>
      </c>
      <c r="G35" s="25"/>
      <c r="H35" s="19" t="str">
        <f aca="false">IF(ISNUMBER(G35),G35-D35,"")</f>
        <v/>
      </c>
      <c r="I35" s="19" t="str">
        <f aca="false">IF(OR(C35="Positif 16/18",C35="Positif lain"),IF(AND(ISNUMBER(H35),H35&lt;='Baca Dulu'!$B$16),"Ya","Tidak"),"")</f>
        <v/>
      </c>
      <c r="J35" s="19"/>
      <c r="K35" s="19"/>
      <c r="L35" s="19"/>
      <c r="M35" s="25" t="n">
        <f aca="false">IF(C35="Negatif",DATE(YEAR(D35)+'Baca Dulu'!$B$17,MONTH(D35),DAY(D35)),IF(AND(C35="Positif lain",J35="Negatif"),DATE(YEAR(G35)+'Baca Dulu'!$B$18,MONTH(G35),DAY(G35)),IF(AND(C35="Positif 16/18",J35="Negatif"),DATE(YEAR(G35)+'Baca Dulu'!$B$19,MONTH(G35),DAY(G35)),IF(C35="Invalid","Ambil ulang","Ditentukan bidan"))))</f>
        <v>49959</v>
      </c>
    </row>
    <row r="36" customFormat="false" ht="15" hidden="false" customHeight="true" outlineLevel="0" collapsed="false">
      <c r="A36" s="19" t="str">
        <f aca="false">'5 Format Standar'!C36</f>
        <v>P-0034</v>
      </c>
      <c r="B36" s="19" t="str">
        <f aca="false">'5 Format Standar'!A36</f>
        <v>NUSA HPV</v>
      </c>
      <c r="C36" s="19" t="str">
        <f aca="false">'5 Format Standar'!M36</f>
        <v>Negatif</v>
      </c>
      <c r="D36" s="25" t="n">
        <f aca="false">'5 Format Standar'!O36</f>
        <v>46309</v>
      </c>
      <c r="E36" s="25"/>
      <c r="F36" s="19" t="str">
        <f aca="false">IF(ISNUMBER(E36),E36-D36,"")</f>
        <v/>
      </c>
      <c r="G36" s="25"/>
      <c r="H36" s="19" t="str">
        <f aca="false">IF(ISNUMBER(G36),G36-D36,"")</f>
        <v/>
      </c>
      <c r="I36" s="19" t="str">
        <f aca="false">IF(OR(C36="Positif 16/18",C36="Positif lain"),IF(AND(ISNUMBER(H36),H36&lt;='Baca Dulu'!$B$16),"Ya","Tidak"),"")</f>
        <v/>
      </c>
      <c r="J36" s="19"/>
      <c r="K36" s="19"/>
      <c r="L36" s="19"/>
      <c r="M36" s="25" t="n">
        <f aca="false">IF(C36="Negatif",DATE(YEAR(D36)+'Baca Dulu'!$B$17,MONTH(D36),DAY(D36)),IF(AND(C36="Positif lain",J36="Negatif"),DATE(YEAR(G36)+'Baca Dulu'!$B$18,MONTH(G36),DAY(G36)),IF(AND(C36="Positif 16/18",J36="Negatif"),DATE(YEAR(G36)+'Baca Dulu'!$B$19,MONTH(G36),DAY(G36)),IF(C36="Invalid","Ambil ulang","Ditentukan bidan"))))</f>
        <v>49962</v>
      </c>
    </row>
    <row r="37" customFormat="false" ht="15" hidden="false" customHeight="true" outlineLevel="0" collapsed="false">
      <c r="A37" s="19" t="str">
        <f aca="false">'5 Format Standar'!C37</f>
        <v>P-0035</v>
      </c>
      <c r="B37" s="19" t="str">
        <f aca="false">'5 Format Standar'!A37</f>
        <v>NUSA HPV</v>
      </c>
      <c r="C37" s="19" t="str">
        <f aca="false">'5 Format Standar'!M37</f>
        <v>Positif 16/18</v>
      </c>
      <c r="D37" s="25" t="n">
        <f aca="false">'5 Format Standar'!O37</f>
        <v>46309</v>
      </c>
      <c r="E37" s="20" t="n">
        <f aca="false">D37+4</f>
        <v>46313</v>
      </c>
      <c r="F37" s="19" t="n">
        <f aca="false">IF(ISNUMBER(E37),E37-D37,"")</f>
        <v>4</v>
      </c>
      <c r="G37" s="20" t="n">
        <f aca="false">D37+72</f>
        <v>46381</v>
      </c>
      <c r="H37" s="19" t="n">
        <f aca="false">IF(ISNUMBER(G37),G37-D37,"")</f>
        <v>72</v>
      </c>
      <c r="I37" s="19" t="str">
        <f aca="false">IF(OR(C37="Positif 16/18",C37="Positif lain"),IF(AND(ISNUMBER(H37),H37&lt;='Baca Dulu'!$B$16),"Ya","Tidak"),"")</f>
        <v>Tidak</v>
      </c>
      <c r="J37" s="17" t="s">
        <v>263</v>
      </c>
      <c r="K37" s="17" t="s">
        <v>779</v>
      </c>
      <c r="L37" s="17" t="s">
        <v>780</v>
      </c>
      <c r="M37" s="25" t="n">
        <f aca="false">IF(C37="Negatif",DATE(YEAR(D37)+'Baca Dulu'!$B$17,MONTH(D37),DAY(D37)),IF(AND(C37="Positif lain",J37="Negatif"),DATE(YEAR(G37)+'Baca Dulu'!$B$18,MONTH(G37),DAY(G37)),IF(AND(C37="Positif 16/18",J37="Negatif"),DATE(YEAR(G37)+'Baca Dulu'!$B$19,MONTH(G37),DAY(G37)),IF(C37="Invalid","Ambil ulang","Ditentukan bidan"))))</f>
        <v>46746</v>
      </c>
    </row>
    <row r="38" customFormat="false" ht="15" hidden="false" customHeight="true" outlineLevel="0" collapsed="false">
      <c r="A38" s="19" t="str">
        <f aca="false">'5 Format Standar'!C38</f>
        <v>P-0036</v>
      </c>
      <c r="B38" s="19" t="str">
        <f aca="false">'5 Format Standar'!A38</f>
        <v>NUSA HPV</v>
      </c>
      <c r="C38" s="19" t="str">
        <f aca="false">'5 Format Standar'!M38</f>
        <v>Negatif</v>
      </c>
      <c r="D38" s="25" t="n">
        <f aca="false">'5 Format Standar'!O38</f>
        <v>46308</v>
      </c>
      <c r="E38" s="25"/>
      <c r="F38" s="19" t="str">
        <f aca="false">IF(ISNUMBER(E38),E38-D38,"")</f>
        <v/>
      </c>
      <c r="G38" s="25"/>
      <c r="H38" s="19" t="str">
        <f aca="false">IF(ISNUMBER(G38),G38-D38,"")</f>
        <v/>
      </c>
      <c r="I38" s="19" t="str">
        <f aca="false">IF(OR(C38="Positif 16/18",C38="Positif lain"),IF(AND(ISNUMBER(H38),H38&lt;='Baca Dulu'!$B$16),"Ya","Tidak"),"")</f>
        <v/>
      </c>
      <c r="J38" s="19"/>
      <c r="K38" s="19"/>
      <c r="L38" s="19"/>
      <c r="M38" s="25" t="n">
        <f aca="false">IF(C38="Negatif",DATE(YEAR(D38)+'Baca Dulu'!$B$17,MONTH(D38),DAY(D38)),IF(AND(C38="Positif lain",J38="Negatif"),DATE(YEAR(G38)+'Baca Dulu'!$B$18,MONTH(G38),DAY(G38)),IF(AND(C38="Positif 16/18",J38="Negatif"),DATE(YEAR(G38)+'Baca Dulu'!$B$19,MONTH(G38),DAY(G38)),IF(C38="Invalid","Ambil ulang","Ditentukan bidan"))))</f>
        <v>49961</v>
      </c>
    </row>
    <row r="39" customFormat="false" ht="15" hidden="false" customHeight="true" outlineLevel="0" collapsed="false">
      <c r="A39" s="19" t="str">
        <f aca="false">'5 Format Standar'!C39</f>
        <v>P-0037</v>
      </c>
      <c r="B39" s="19" t="str">
        <f aca="false">'5 Format Standar'!A39</f>
        <v>NUSA HPV</v>
      </c>
      <c r="C39" s="19" t="str">
        <f aca="false">'5 Format Standar'!M39</f>
        <v>Invalid</v>
      </c>
      <c r="D39" s="25" t="n">
        <f aca="false">'5 Format Standar'!O39</f>
        <v>46303</v>
      </c>
      <c r="E39" s="25"/>
      <c r="F39" s="19" t="str">
        <f aca="false">IF(ISNUMBER(E39),E39-D39,"")</f>
        <v/>
      </c>
      <c r="G39" s="25"/>
      <c r="H39" s="19" t="str">
        <f aca="false">IF(ISNUMBER(G39),G39-D39,"")</f>
        <v/>
      </c>
      <c r="I39" s="19" t="str">
        <f aca="false">IF(OR(C39="Positif 16/18",C39="Positif lain"),IF(AND(ISNUMBER(H39),H39&lt;='Baca Dulu'!$B$16),"Ya","Tidak"),"")</f>
        <v/>
      </c>
      <c r="J39" s="19"/>
      <c r="K39" s="19"/>
      <c r="L39" s="19"/>
      <c r="M39" s="25" t="str">
        <f aca="false">IF(C39="Negatif",DATE(YEAR(D39)+'Baca Dulu'!$B$17,MONTH(D39),DAY(D39)),IF(AND(C39="Positif lain",J39="Negatif"),DATE(YEAR(G39)+'Baca Dulu'!$B$18,MONTH(G39),DAY(G39)),IF(AND(C39="Positif 16/18",J39="Negatif"),DATE(YEAR(G39)+'Baca Dulu'!$B$19,MONTH(G39),DAY(G39)),IF(C39="Invalid","Ambil ulang","Ditentukan bidan"))))</f>
        <v>Ambil ulang</v>
      </c>
    </row>
    <row r="40" customFormat="false" ht="15" hidden="false" customHeight="true" outlineLevel="0" collapsed="false">
      <c r="A40" s="19" t="str">
        <f aca="false">'5 Format Standar'!C40</f>
        <v>P-0038</v>
      </c>
      <c r="B40" s="19" t="str">
        <f aca="false">'5 Format Standar'!A40</f>
        <v>NUSA HPV</v>
      </c>
      <c r="C40" s="19" t="str">
        <f aca="false">'5 Format Standar'!M40</f>
        <v>Negatif</v>
      </c>
      <c r="D40" s="25" t="n">
        <f aca="false">'5 Format Standar'!O40</f>
        <v>46301</v>
      </c>
      <c r="E40" s="25"/>
      <c r="F40" s="19" t="str">
        <f aca="false">IF(ISNUMBER(E40),E40-D40,"")</f>
        <v/>
      </c>
      <c r="G40" s="25"/>
      <c r="H40" s="19" t="str">
        <f aca="false">IF(ISNUMBER(G40),G40-D40,"")</f>
        <v/>
      </c>
      <c r="I40" s="19" t="str">
        <f aca="false">IF(OR(C40="Positif 16/18",C40="Positif lain"),IF(AND(ISNUMBER(H40),H40&lt;='Baca Dulu'!$B$16),"Ya","Tidak"),"")</f>
        <v/>
      </c>
      <c r="J40" s="19"/>
      <c r="K40" s="19"/>
      <c r="L40" s="19"/>
      <c r="M40" s="25" t="n">
        <f aca="false">IF(C40="Negatif",DATE(YEAR(D40)+'Baca Dulu'!$B$17,MONTH(D40),DAY(D40)),IF(AND(C40="Positif lain",J40="Negatif"),DATE(YEAR(G40)+'Baca Dulu'!$B$18,MONTH(G40),DAY(G40)),IF(AND(C40="Positif 16/18",J40="Negatif"),DATE(YEAR(G40)+'Baca Dulu'!$B$19,MONTH(G40),DAY(G40)),IF(C40="Invalid","Ambil ulang","Ditentukan bidan"))))</f>
        <v>49954</v>
      </c>
    </row>
    <row r="41" customFormat="false" ht="15" hidden="false" customHeight="true" outlineLevel="0" collapsed="false">
      <c r="A41" s="19" t="str">
        <f aca="false">'5 Format Standar'!C41</f>
        <v>P-0039</v>
      </c>
      <c r="B41" s="19" t="str">
        <f aca="false">'5 Format Standar'!A41</f>
        <v>NUSA HPV</v>
      </c>
      <c r="C41" s="19" t="str">
        <f aca="false">'5 Format Standar'!M41</f>
        <v>Negatif</v>
      </c>
      <c r="D41" s="25" t="n">
        <f aca="false">'5 Format Standar'!O41</f>
        <v>46300</v>
      </c>
      <c r="E41" s="25"/>
      <c r="F41" s="19" t="str">
        <f aca="false">IF(ISNUMBER(E41),E41-D41,"")</f>
        <v/>
      </c>
      <c r="G41" s="25"/>
      <c r="H41" s="19" t="str">
        <f aca="false">IF(ISNUMBER(G41),G41-D41,"")</f>
        <v/>
      </c>
      <c r="I41" s="19" t="str">
        <f aca="false">IF(OR(C41="Positif 16/18",C41="Positif lain"),IF(AND(ISNUMBER(H41),H41&lt;='Baca Dulu'!$B$16),"Ya","Tidak"),"")</f>
        <v/>
      </c>
      <c r="J41" s="19"/>
      <c r="K41" s="19"/>
      <c r="L41" s="19"/>
      <c r="M41" s="25" t="n">
        <f aca="false">IF(C41="Negatif",DATE(YEAR(D41)+'Baca Dulu'!$B$17,MONTH(D41),DAY(D41)),IF(AND(C41="Positif lain",J41="Negatif"),DATE(YEAR(G41)+'Baca Dulu'!$B$18,MONTH(G41),DAY(G41)),IF(AND(C41="Positif 16/18",J41="Negatif"),DATE(YEAR(G41)+'Baca Dulu'!$B$19,MONTH(G41),DAY(G41)),IF(C41="Invalid","Ambil ulang","Ditentukan bidan"))))</f>
        <v>49953</v>
      </c>
    </row>
    <row r="42" customFormat="false" ht="15" hidden="false" customHeight="true" outlineLevel="0" collapsed="false">
      <c r="A42" s="19" t="str">
        <f aca="false">'5 Format Standar'!C42</f>
        <v>P-0040</v>
      </c>
      <c r="B42" s="19" t="str">
        <f aca="false">'5 Format Standar'!A42</f>
        <v>NUSA HPV</v>
      </c>
      <c r="C42" s="19" t="str">
        <f aca="false">'5 Format Standar'!M42</f>
        <v>Negatif</v>
      </c>
      <c r="D42" s="25" t="n">
        <f aca="false">'5 Format Standar'!O42</f>
        <v>46301</v>
      </c>
      <c r="E42" s="25"/>
      <c r="F42" s="19" t="str">
        <f aca="false">IF(ISNUMBER(E42),E42-D42,"")</f>
        <v/>
      </c>
      <c r="G42" s="25"/>
      <c r="H42" s="19" t="str">
        <f aca="false">IF(ISNUMBER(G42),G42-D42,"")</f>
        <v/>
      </c>
      <c r="I42" s="19" t="str">
        <f aca="false">IF(OR(C42="Positif 16/18",C42="Positif lain"),IF(AND(ISNUMBER(H42),H42&lt;='Baca Dulu'!$B$16),"Ya","Tidak"),"")</f>
        <v/>
      </c>
      <c r="J42" s="19"/>
      <c r="K42" s="19"/>
      <c r="L42" s="19"/>
      <c r="M42" s="25" t="n">
        <f aca="false">IF(C42="Negatif",DATE(YEAR(D42)+'Baca Dulu'!$B$17,MONTH(D42),DAY(D42)),IF(AND(C42="Positif lain",J42="Negatif"),DATE(YEAR(G42)+'Baca Dulu'!$B$18,MONTH(G42),DAY(G42)),IF(AND(C42="Positif 16/18",J42="Negatif"),DATE(YEAR(G42)+'Baca Dulu'!$B$19,MONTH(G42),DAY(G42)),IF(C42="Invalid","Ambil ulang","Ditentukan bidan"))))</f>
        <v>49954</v>
      </c>
    </row>
    <row r="43" customFormat="false" ht="15" hidden="false" customHeight="true" outlineLevel="0" collapsed="false">
      <c r="A43" s="19" t="str">
        <f aca="false">'5 Format Standar'!C43</f>
        <v>P-0041</v>
      </c>
      <c r="B43" s="19" t="str">
        <f aca="false">'5 Format Standar'!A43</f>
        <v>NUSA HPV</v>
      </c>
      <c r="C43" s="19" t="str">
        <f aca="false">'5 Format Standar'!M43</f>
        <v>Negatif</v>
      </c>
      <c r="D43" s="25" t="n">
        <f aca="false">'5 Format Standar'!O43</f>
        <v>46304</v>
      </c>
      <c r="E43" s="25"/>
      <c r="F43" s="19" t="str">
        <f aca="false">IF(ISNUMBER(E43),E43-D43,"")</f>
        <v/>
      </c>
      <c r="G43" s="25"/>
      <c r="H43" s="19" t="str">
        <f aca="false">IF(ISNUMBER(G43),G43-D43,"")</f>
        <v/>
      </c>
      <c r="I43" s="19" t="str">
        <f aca="false">IF(OR(C43="Positif 16/18",C43="Positif lain"),IF(AND(ISNUMBER(H43),H43&lt;='Baca Dulu'!$B$16),"Ya","Tidak"),"")</f>
        <v/>
      </c>
      <c r="J43" s="19"/>
      <c r="K43" s="19"/>
      <c r="L43" s="19"/>
      <c r="M43" s="25" t="n">
        <f aca="false">IF(C43="Negatif",DATE(YEAR(D43)+'Baca Dulu'!$B$17,MONTH(D43),DAY(D43)),IF(AND(C43="Positif lain",J43="Negatif"),DATE(YEAR(G43)+'Baca Dulu'!$B$18,MONTH(G43),DAY(G43)),IF(AND(C43="Positif 16/18",J43="Negatif"),DATE(YEAR(G43)+'Baca Dulu'!$B$19,MONTH(G43),DAY(G43)),IF(C43="Invalid","Ambil ulang","Ditentukan bidan"))))</f>
        <v>49957</v>
      </c>
    </row>
    <row r="44" customFormat="false" ht="15" hidden="false" customHeight="true" outlineLevel="0" collapsed="false">
      <c r="A44" s="19" t="str">
        <f aca="false">'5 Format Standar'!C44</f>
        <v>P-0042</v>
      </c>
      <c r="B44" s="19" t="str">
        <f aca="false">'5 Format Standar'!A44</f>
        <v>NUSA HPV</v>
      </c>
      <c r="C44" s="19" t="str">
        <f aca="false">'5 Format Standar'!M44</f>
        <v>Negatif</v>
      </c>
      <c r="D44" s="25" t="n">
        <f aca="false">'5 Format Standar'!O44</f>
        <v>46308</v>
      </c>
      <c r="E44" s="25"/>
      <c r="F44" s="19" t="str">
        <f aca="false">IF(ISNUMBER(E44),E44-D44,"")</f>
        <v/>
      </c>
      <c r="G44" s="25"/>
      <c r="H44" s="19" t="str">
        <f aca="false">IF(ISNUMBER(G44),G44-D44,"")</f>
        <v/>
      </c>
      <c r="I44" s="19" t="str">
        <f aca="false">IF(OR(C44="Positif 16/18",C44="Positif lain"),IF(AND(ISNUMBER(H44),H44&lt;='Baca Dulu'!$B$16),"Ya","Tidak"),"")</f>
        <v/>
      </c>
      <c r="J44" s="19"/>
      <c r="K44" s="19"/>
      <c r="L44" s="19"/>
      <c r="M44" s="25" t="n">
        <f aca="false">IF(C44="Negatif",DATE(YEAR(D44)+'Baca Dulu'!$B$17,MONTH(D44),DAY(D44)),IF(AND(C44="Positif lain",J44="Negatif"),DATE(YEAR(G44)+'Baca Dulu'!$B$18,MONTH(G44),DAY(G44)),IF(AND(C44="Positif 16/18",J44="Negatif"),DATE(YEAR(G44)+'Baca Dulu'!$B$19,MONTH(G44),DAY(G44)),IF(C44="Invalid","Ambil ulang","Ditentukan bidan"))))</f>
        <v>49961</v>
      </c>
    </row>
    <row r="45" customFormat="false" ht="15" hidden="false" customHeight="true" outlineLevel="0" collapsed="false">
      <c r="A45" s="19" t="str">
        <f aca="false">'5 Format Standar'!C45</f>
        <v>P-0043</v>
      </c>
      <c r="B45" s="19" t="str">
        <f aca="false">'5 Format Standar'!A45</f>
        <v>NUSA HPV</v>
      </c>
      <c r="C45" s="19" t="str">
        <f aca="false">'5 Format Standar'!M45</f>
        <v>Negatif</v>
      </c>
      <c r="D45" s="25" t="n">
        <f aca="false">'5 Format Standar'!O45</f>
        <v>46309</v>
      </c>
      <c r="E45" s="25"/>
      <c r="F45" s="19" t="str">
        <f aca="false">IF(ISNUMBER(E45),E45-D45,"")</f>
        <v/>
      </c>
      <c r="G45" s="25"/>
      <c r="H45" s="19" t="str">
        <f aca="false">IF(ISNUMBER(G45),G45-D45,"")</f>
        <v/>
      </c>
      <c r="I45" s="19" t="str">
        <f aca="false">IF(OR(C45="Positif 16/18",C45="Positif lain"),IF(AND(ISNUMBER(H45),H45&lt;='Baca Dulu'!$B$16),"Ya","Tidak"),"")</f>
        <v/>
      </c>
      <c r="J45" s="19"/>
      <c r="K45" s="19"/>
      <c r="L45" s="19"/>
      <c r="M45" s="25" t="n">
        <f aca="false">IF(C45="Negatif",DATE(YEAR(D45)+'Baca Dulu'!$B$17,MONTH(D45),DAY(D45)),IF(AND(C45="Positif lain",J45="Negatif"),DATE(YEAR(G45)+'Baca Dulu'!$B$18,MONTH(G45),DAY(G45)),IF(AND(C45="Positif 16/18",J45="Negatif"),DATE(YEAR(G45)+'Baca Dulu'!$B$19,MONTH(G45),DAY(G45)),IF(C45="Invalid","Ambil ulang","Ditentukan bidan"))))</f>
        <v>49962</v>
      </c>
    </row>
    <row r="46" customFormat="false" ht="15" hidden="false" customHeight="true" outlineLevel="0" collapsed="false">
      <c r="A46" s="19" t="str">
        <f aca="false">'5 Format Standar'!C46</f>
        <v>P-0044</v>
      </c>
      <c r="B46" s="19" t="str">
        <f aca="false">'5 Format Standar'!A46</f>
        <v>NUSA HPV</v>
      </c>
      <c r="C46" s="19" t="str">
        <f aca="false">'5 Format Standar'!M46</f>
        <v>Negatif</v>
      </c>
      <c r="D46" s="25" t="n">
        <f aca="false">'5 Format Standar'!O46</f>
        <v>46309</v>
      </c>
      <c r="E46" s="25"/>
      <c r="F46" s="19" t="str">
        <f aca="false">IF(ISNUMBER(E46),E46-D46,"")</f>
        <v/>
      </c>
      <c r="G46" s="25"/>
      <c r="H46" s="19" t="str">
        <f aca="false">IF(ISNUMBER(G46),G46-D46,"")</f>
        <v/>
      </c>
      <c r="I46" s="19" t="str">
        <f aca="false">IF(OR(C46="Positif 16/18",C46="Positif lain"),IF(AND(ISNUMBER(H46),H46&lt;='Baca Dulu'!$B$16),"Ya","Tidak"),"")</f>
        <v/>
      </c>
      <c r="J46" s="19"/>
      <c r="K46" s="19"/>
      <c r="L46" s="19"/>
      <c r="M46" s="25" t="n">
        <f aca="false">IF(C46="Negatif",DATE(YEAR(D46)+'Baca Dulu'!$B$17,MONTH(D46),DAY(D46)),IF(AND(C46="Positif lain",J46="Negatif"),DATE(YEAR(G46)+'Baca Dulu'!$B$18,MONTH(G46),DAY(G46)),IF(AND(C46="Positif 16/18",J46="Negatif"),DATE(YEAR(G46)+'Baca Dulu'!$B$19,MONTH(G46),DAY(G46)),IF(C46="Invalid","Ambil ulang","Ditentukan bidan"))))</f>
        <v>49962</v>
      </c>
    </row>
    <row r="47" customFormat="false" ht="15" hidden="false" customHeight="true" outlineLevel="0" collapsed="false">
      <c r="A47" s="19" t="str">
        <f aca="false">'5 Format Standar'!C47</f>
        <v>P-0045</v>
      </c>
      <c r="B47" s="19" t="str">
        <f aca="false">'5 Format Standar'!A47</f>
        <v>NUSA HPV</v>
      </c>
      <c r="C47" s="19" t="str">
        <f aca="false">'5 Format Standar'!M47</f>
        <v>Positif 16/18</v>
      </c>
      <c r="D47" s="25" t="n">
        <f aca="false">'5 Format Standar'!O47</f>
        <v>46307</v>
      </c>
      <c r="E47" s="20" t="n">
        <f aca="false">D47+1</f>
        <v>46308</v>
      </c>
      <c r="F47" s="19" t="n">
        <f aca="false">IF(ISNUMBER(E47),E47-D47,"")</f>
        <v>1</v>
      </c>
      <c r="G47" s="20" t="n">
        <f aca="false">D47+20</f>
        <v>46327</v>
      </c>
      <c r="H47" s="19" t="n">
        <f aca="false">IF(ISNUMBER(G47),G47-D47,"")</f>
        <v>20</v>
      </c>
      <c r="I47" s="19" t="str">
        <f aca="false">IF(OR(C47="Positif 16/18",C47="Positif lain"),IF(AND(ISNUMBER(H47),H47&lt;='Baca Dulu'!$B$16),"Ya","Tidak"),"")</f>
        <v>Ya</v>
      </c>
      <c r="J47" s="17" t="s">
        <v>781</v>
      </c>
      <c r="K47" s="17" t="s">
        <v>786</v>
      </c>
      <c r="L47" s="17" t="s">
        <v>780</v>
      </c>
      <c r="M47" s="25" t="str">
        <f aca="false">IF(C47="Negatif",DATE(YEAR(D47)+'Baca Dulu'!$B$17,MONTH(D47),DAY(D47)),IF(AND(C47="Positif lain",J47="Negatif"),DATE(YEAR(G47)+'Baca Dulu'!$B$18,MONTH(G47),DAY(G47)),IF(AND(C47="Positif 16/18",J47="Negatif"),DATE(YEAR(G47)+'Baca Dulu'!$B$19,MONTH(G47),DAY(G47)),IF(C47="Invalid","Ambil ulang","Ditentukan bidan"))))</f>
        <v>Ditentukan bidan</v>
      </c>
    </row>
    <row r="48" customFormat="false" ht="15" hidden="false" customHeight="true" outlineLevel="0" collapsed="false">
      <c r="A48" s="19" t="str">
        <f aca="false">'5 Format Standar'!C48</f>
        <v>P-0046</v>
      </c>
      <c r="B48" s="19" t="str">
        <f aca="false">'5 Format Standar'!A48</f>
        <v>NUSA HPV</v>
      </c>
      <c r="C48" s="19" t="str">
        <f aca="false">'5 Format Standar'!M48</f>
        <v>Negatif</v>
      </c>
      <c r="D48" s="25" t="n">
        <f aca="false">'5 Format Standar'!O48</f>
        <v>46302</v>
      </c>
      <c r="E48" s="25"/>
      <c r="F48" s="19" t="str">
        <f aca="false">IF(ISNUMBER(E48),E48-D48,"")</f>
        <v/>
      </c>
      <c r="G48" s="25"/>
      <c r="H48" s="19" t="str">
        <f aca="false">IF(ISNUMBER(G48),G48-D48,"")</f>
        <v/>
      </c>
      <c r="I48" s="19" t="str">
        <f aca="false">IF(OR(C48="Positif 16/18",C48="Positif lain"),IF(AND(ISNUMBER(H48),H48&lt;='Baca Dulu'!$B$16),"Ya","Tidak"),"")</f>
        <v/>
      </c>
      <c r="J48" s="19"/>
      <c r="K48" s="19"/>
      <c r="L48" s="19"/>
      <c r="M48" s="25" t="n">
        <f aca="false">IF(C48="Negatif",DATE(YEAR(D48)+'Baca Dulu'!$B$17,MONTH(D48),DAY(D48)),IF(AND(C48="Positif lain",J48="Negatif"),DATE(YEAR(G48)+'Baca Dulu'!$B$18,MONTH(G48),DAY(G48)),IF(AND(C48="Positif 16/18",J48="Negatif"),DATE(YEAR(G48)+'Baca Dulu'!$B$19,MONTH(G48),DAY(G48)),IF(C48="Invalid","Ambil ulang","Ditentukan bidan"))))</f>
        <v>49955</v>
      </c>
    </row>
    <row r="49" customFormat="false" ht="15" hidden="false" customHeight="true" outlineLevel="0" collapsed="false">
      <c r="A49" s="19" t="str">
        <f aca="false">'5 Format Standar'!C49</f>
        <v>P-0047</v>
      </c>
      <c r="B49" s="19" t="str">
        <f aca="false">'5 Format Standar'!A49</f>
        <v>NUSA HPV</v>
      </c>
      <c r="C49" s="19" t="str">
        <f aca="false">'5 Format Standar'!M49</f>
        <v>Negatif</v>
      </c>
      <c r="D49" s="25" t="n">
        <f aca="false">'5 Format Standar'!O49</f>
        <v>46307</v>
      </c>
      <c r="E49" s="25"/>
      <c r="F49" s="19" t="str">
        <f aca="false">IF(ISNUMBER(E49),E49-D49,"")</f>
        <v/>
      </c>
      <c r="G49" s="25"/>
      <c r="H49" s="19" t="str">
        <f aca="false">IF(ISNUMBER(G49),G49-D49,"")</f>
        <v/>
      </c>
      <c r="I49" s="19" t="str">
        <f aca="false">IF(OR(C49="Positif 16/18",C49="Positif lain"),IF(AND(ISNUMBER(H49),H49&lt;='Baca Dulu'!$B$16),"Ya","Tidak"),"")</f>
        <v/>
      </c>
      <c r="J49" s="19"/>
      <c r="K49" s="19"/>
      <c r="L49" s="19"/>
      <c r="M49" s="25" t="n">
        <f aca="false">IF(C49="Negatif",DATE(YEAR(D49)+'Baca Dulu'!$B$17,MONTH(D49),DAY(D49)),IF(AND(C49="Positif lain",J49="Negatif"),DATE(YEAR(G49)+'Baca Dulu'!$B$18,MONTH(G49),DAY(G49)),IF(AND(C49="Positif 16/18",J49="Negatif"),DATE(YEAR(G49)+'Baca Dulu'!$B$19,MONTH(G49),DAY(G49)),IF(C49="Invalid","Ambil ulang","Ditentukan bidan"))))</f>
        <v>49960</v>
      </c>
    </row>
    <row r="50" customFormat="false" ht="15" hidden="false" customHeight="true" outlineLevel="0" collapsed="false">
      <c r="A50" s="19" t="str">
        <f aca="false">'5 Format Standar'!C50</f>
        <v>P-0048</v>
      </c>
      <c r="B50" s="19" t="str">
        <f aca="false">'5 Format Standar'!A50</f>
        <v>NUSA HPV</v>
      </c>
      <c r="C50" s="19" t="str">
        <f aca="false">'5 Format Standar'!M50</f>
        <v>Positif lain</v>
      </c>
      <c r="D50" s="25" t="n">
        <f aca="false">'5 Format Standar'!O50</f>
        <v>46303</v>
      </c>
      <c r="E50" s="20" t="n">
        <f aca="false">D50+2</f>
        <v>46305</v>
      </c>
      <c r="F50" s="19" t="n">
        <f aca="false">IF(ISNUMBER(E50),E50-D50,"")</f>
        <v>2</v>
      </c>
      <c r="G50" s="20" t="n">
        <f aca="false">D50+28</f>
        <v>46331</v>
      </c>
      <c r="H50" s="19" t="n">
        <f aca="false">IF(ISNUMBER(G50),G50-D50,"")</f>
        <v>28</v>
      </c>
      <c r="I50" s="19" t="str">
        <f aca="false">IF(OR(C50="Positif 16/18",C50="Positif lain"),IF(AND(ISNUMBER(H50),H50&lt;='Baca Dulu'!$B$16),"Ya","Tidak"),"")</f>
        <v>Ya</v>
      </c>
      <c r="J50" s="17" t="s">
        <v>263</v>
      </c>
      <c r="K50" s="17" t="s">
        <v>779</v>
      </c>
      <c r="L50" s="17" t="s">
        <v>780</v>
      </c>
      <c r="M50" s="25" t="n">
        <f aca="false">IF(C50="Negatif",DATE(YEAR(D50)+'Baca Dulu'!$B$17,MONTH(D50),DAY(D50)),IF(AND(C50="Positif lain",J50="Negatif"),DATE(YEAR(G50)+'Baca Dulu'!$B$18,MONTH(G50),DAY(G50)),IF(AND(C50="Positif 16/18",J50="Negatif"),DATE(YEAR(G50)+'Baca Dulu'!$B$19,MONTH(G50),DAY(G50)),IF(C50="Invalid","Ambil ulang","Ditentukan bidan"))))</f>
        <v>47427</v>
      </c>
    </row>
    <row r="51" customFormat="false" ht="15" hidden="false" customHeight="true" outlineLevel="0" collapsed="false">
      <c r="A51" s="19" t="str">
        <f aca="false">'5 Format Standar'!C51</f>
        <v>P-0049</v>
      </c>
      <c r="B51" s="19" t="str">
        <f aca="false">'5 Format Standar'!A51</f>
        <v>NUSA HPV</v>
      </c>
      <c r="C51" s="19" t="str">
        <f aca="false">'5 Format Standar'!M51</f>
        <v>Negatif</v>
      </c>
      <c r="D51" s="25" t="n">
        <f aca="false">'5 Format Standar'!O51</f>
        <v>46303</v>
      </c>
      <c r="E51" s="25"/>
      <c r="F51" s="19" t="str">
        <f aca="false">IF(ISNUMBER(E51),E51-D51,"")</f>
        <v/>
      </c>
      <c r="G51" s="25"/>
      <c r="H51" s="19" t="str">
        <f aca="false">IF(ISNUMBER(G51),G51-D51,"")</f>
        <v/>
      </c>
      <c r="I51" s="19" t="str">
        <f aca="false">IF(OR(C51="Positif 16/18",C51="Positif lain"),IF(AND(ISNUMBER(H51),H51&lt;='Baca Dulu'!$B$16),"Ya","Tidak"),"")</f>
        <v/>
      </c>
      <c r="J51" s="19"/>
      <c r="K51" s="19"/>
      <c r="L51" s="19"/>
      <c r="M51" s="25" t="n">
        <f aca="false">IF(C51="Negatif",DATE(YEAR(D51)+'Baca Dulu'!$B$17,MONTH(D51),DAY(D51)),IF(AND(C51="Positif lain",J51="Negatif"),DATE(YEAR(G51)+'Baca Dulu'!$B$18,MONTH(G51),DAY(G51)),IF(AND(C51="Positif 16/18",J51="Negatif"),DATE(YEAR(G51)+'Baca Dulu'!$B$19,MONTH(G51),DAY(G51)),IF(C51="Invalid","Ambil ulang","Ditentukan bidan"))))</f>
        <v>49956</v>
      </c>
    </row>
    <row r="52" customFormat="false" ht="15" hidden="false" customHeight="true" outlineLevel="0" collapsed="false">
      <c r="A52" s="19" t="str">
        <f aca="false">'5 Format Standar'!C52</f>
        <v>P-0050</v>
      </c>
      <c r="B52" s="19" t="str">
        <f aca="false">'5 Format Standar'!A52</f>
        <v>NUSA HPV</v>
      </c>
      <c r="C52" s="19" t="str">
        <f aca="false">'5 Format Standar'!M52</f>
        <v>Negatif</v>
      </c>
      <c r="D52" s="25" t="n">
        <f aca="false">'5 Format Standar'!O52</f>
        <v>46300</v>
      </c>
      <c r="E52" s="25"/>
      <c r="F52" s="19" t="str">
        <f aca="false">IF(ISNUMBER(E52),E52-D52,"")</f>
        <v/>
      </c>
      <c r="G52" s="25"/>
      <c r="H52" s="19" t="str">
        <f aca="false">IF(ISNUMBER(G52),G52-D52,"")</f>
        <v/>
      </c>
      <c r="I52" s="19" t="str">
        <f aca="false">IF(OR(C52="Positif 16/18",C52="Positif lain"),IF(AND(ISNUMBER(H52),H52&lt;='Baca Dulu'!$B$16),"Ya","Tidak"),"")</f>
        <v/>
      </c>
      <c r="J52" s="19"/>
      <c r="K52" s="19"/>
      <c r="L52" s="19"/>
      <c r="M52" s="25" t="n">
        <f aca="false">IF(C52="Negatif",DATE(YEAR(D52)+'Baca Dulu'!$B$17,MONTH(D52),DAY(D52)),IF(AND(C52="Positif lain",J52="Negatif"),DATE(YEAR(G52)+'Baca Dulu'!$B$18,MONTH(G52),DAY(G52)),IF(AND(C52="Positif 16/18",J52="Negatif"),DATE(YEAR(G52)+'Baca Dulu'!$B$19,MONTH(G52),DAY(G52)),IF(C52="Invalid","Ambil ulang","Ditentukan bidan"))))</f>
        <v>49953</v>
      </c>
    </row>
    <row r="53" customFormat="false" ht="15" hidden="false" customHeight="true" outlineLevel="0" collapsed="false">
      <c r="A53" s="19" t="str">
        <f aca="false">'5 Format Standar'!C53</f>
        <v>P-0051</v>
      </c>
      <c r="B53" s="19" t="str">
        <f aca="false">'5 Format Standar'!A53</f>
        <v>NUSA HPV</v>
      </c>
      <c r="C53" s="19" t="str">
        <f aca="false">'5 Format Standar'!M53</f>
        <v>Negatif</v>
      </c>
      <c r="D53" s="25" t="n">
        <f aca="false">'5 Format Standar'!O53</f>
        <v>46302</v>
      </c>
      <c r="E53" s="25"/>
      <c r="F53" s="19" t="str">
        <f aca="false">IF(ISNUMBER(E53),E53-D53,"")</f>
        <v/>
      </c>
      <c r="G53" s="25"/>
      <c r="H53" s="19" t="str">
        <f aca="false">IF(ISNUMBER(G53),G53-D53,"")</f>
        <v/>
      </c>
      <c r="I53" s="19" t="str">
        <f aca="false">IF(OR(C53="Positif 16/18",C53="Positif lain"),IF(AND(ISNUMBER(H53),H53&lt;='Baca Dulu'!$B$16),"Ya","Tidak"),"")</f>
        <v/>
      </c>
      <c r="J53" s="19"/>
      <c r="K53" s="19"/>
      <c r="L53" s="19"/>
      <c r="M53" s="25" t="n">
        <f aca="false">IF(C53="Negatif",DATE(YEAR(D53)+'Baca Dulu'!$B$17,MONTH(D53),DAY(D53)),IF(AND(C53="Positif lain",J53="Negatif"),DATE(YEAR(G53)+'Baca Dulu'!$B$18,MONTH(G53),DAY(G53)),IF(AND(C53="Positif 16/18",J53="Negatif"),DATE(YEAR(G53)+'Baca Dulu'!$B$19,MONTH(G53),DAY(G53)),IF(C53="Invalid","Ambil ulang","Ditentukan bidan"))))</f>
        <v>49955</v>
      </c>
    </row>
    <row r="54" customFormat="false" ht="15" hidden="false" customHeight="true" outlineLevel="0" collapsed="false">
      <c r="A54" s="19" t="str">
        <f aca="false">'5 Format Standar'!C54</f>
        <v>P-0052</v>
      </c>
      <c r="B54" s="19" t="str">
        <f aca="false">'5 Format Standar'!A54</f>
        <v>NUSA HPV</v>
      </c>
      <c r="C54" s="19" t="str">
        <f aca="false">'5 Format Standar'!M54</f>
        <v>Negatif</v>
      </c>
      <c r="D54" s="25" t="n">
        <f aca="false">'5 Format Standar'!O54</f>
        <v>46306</v>
      </c>
      <c r="E54" s="25"/>
      <c r="F54" s="19" t="str">
        <f aca="false">IF(ISNUMBER(E54),E54-D54,"")</f>
        <v/>
      </c>
      <c r="G54" s="25"/>
      <c r="H54" s="19" t="str">
        <f aca="false">IF(ISNUMBER(G54),G54-D54,"")</f>
        <v/>
      </c>
      <c r="I54" s="19" t="str">
        <f aca="false">IF(OR(C54="Positif 16/18",C54="Positif lain"),IF(AND(ISNUMBER(H54),H54&lt;='Baca Dulu'!$B$16),"Ya","Tidak"),"")</f>
        <v/>
      </c>
      <c r="J54" s="19"/>
      <c r="K54" s="19"/>
      <c r="L54" s="19"/>
      <c r="M54" s="25" t="n">
        <f aca="false">IF(C54="Negatif",DATE(YEAR(D54)+'Baca Dulu'!$B$17,MONTH(D54),DAY(D54)),IF(AND(C54="Positif lain",J54="Negatif"),DATE(YEAR(G54)+'Baca Dulu'!$B$18,MONTH(G54),DAY(G54)),IF(AND(C54="Positif 16/18",J54="Negatif"),DATE(YEAR(G54)+'Baca Dulu'!$B$19,MONTH(G54),DAY(G54)),IF(C54="Invalid","Ambil ulang","Ditentukan bidan"))))</f>
        <v>49959</v>
      </c>
    </row>
    <row r="55" customFormat="false" ht="15" hidden="false" customHeight="true" outlineLevel="0" collapsed="false">
      <c r="A55" s="19" t="str">
        <f aca="false">'5 Format Standar'!C55</f>
        <v>P-0053</v>
      </c>
      <c r="B55" s="19" t="str">
        <f aca="false">'5 Format Standar'!A55</f>
        <v>NUSA HPV</v>
      </c>
      <c r="C55" s="19" t="str">
        <f aca="false">'5 Format Standar'!M55</f>
        <v>Negatif</v>
      </c>
      <c r="D55" s="25" t="n">
        <f aca="false">'5 Format Standar'!O55</f>
        <v>46308</v>
      </c>
      <c r="E55" s="25"/>
      <c r="F55" s="19" t="str">
        <f aca="false">IF(ISNUMBER(E55),E55-D55,"")</f>
        <v/>
      </c>
      <c r="G55" s="25"/>
      <c r="H55" s="19" t="str">
        <f aca="false">IF(ISNUMBER(G55),G55-D55,"")</f>
        <v/>
      </c>
      <c r="I55" s="19" t="str">
        <f aca="false">IF(OR(C55="Positif 16/18",C55="Positif lain"),IF(AND(ISNUMBER(H55),H55&lt;='Baca Dulu'!$B$16),"Ya","Tidak"),"")</f>
        <v/>
      </c>
      <c r="J55" s="19"/>
      <c r="K55" s="19"/>
      <c r="L55" s="19"/>
      <c r="M55" s="25" t="n">
        <f aca="false">IF(C55="Negatif",DATE(YEAR(D55)+'Baca Dulu'!$B$17,MONTH(D55),DAY(D55)),IF(AND(C55="Positif lain",J55="Negatif"),DATE(YEAR(G55)+'Baca Dulu'!$B$18,MONTH(G55),DAY(G55)),IF(AND(C55="Positif 16/18",J55="Negatif"),DATE(YEAR(G55)+'Baca Dulu'!$B$19,MONTH(G55),DAY(G55)),IF(C55="Invalid","Ambil ulang","Ditentukan bidan"))))</f>
        <v>49961</v>
      </c>
    </row>
    <row r="56" customFormat="false" ht="15" hidden="false" customHeight="true" outlineLevel="0" collapsed="false">
      <c r="A56" s="19" t="str">
        <f aca="false">'5 Format Standar'!C56</f>
        <v>P-0054</v>
      </c>
      <c r="B56" s="19" t="str">
        <f aca="false">'5 Format Standar'!A56</f>
        <v>NUSA HPV</v>
      </c>
      <c r="C56" s="19" t="str">
        <f aca="false">'5 Format Standar'!M56</f>
        <v>Positif lain</v>
      </c>
      <c r="D56" s="25" t="n">
        <f aca="false">'5 Format Standar'!O56</f>
        <v>46309</v>
      </c>
      <c r="E56" s="20" t="n">
        <f aca="false">D56+3</f>
        <v>46312</v>
      </c>
      <c r="F56" s="19" t="n">
        <f aca="false">IF(ISNUMBER(E56),E56-D56,"")</f>
        <v>3</v>
      </c>
      <c r="G56" s="20"/>
      <c r="H56" s="19" t="str">
        <f aca="false">IF(ISNUMBER(G56),G56-D56,"")</f>
        <v/>
      </c>
      <c r="I56" s="19" t="str">
        <f aca="false">IF(OR(C56="Positif 16/18",C56="Positif lain"),IF(AND(ISNUMBER(H56),H56&lt;='Baca Dulu'!$B$16),"Ya","Tidak"),"")</f>
        <v>Tidak</v>
      </c>
      <c r="J56" s="17"/>
      <c r="K56" s="17"/>
      <c r="L56" s="17"/>
      <c r="M56" s="25" t="str">
        <f aca="false">IF(C56="Negatif",DATE(YEAR(D56)+'Baca Dulu'!$B$17,MONTH(D56),DAY(D56)),IF(AND(C56="Positif lain",J56="Negatif"),DATE(YEAR(G56)+'Baca Dulu'!$B$18,MONTH(G56),DAY(G56)),IF(AND(C56="Positif 16/18",J56="Negatif"),DATE(YEAR(G56)+'Baca Dulu'!$B$19,MONTH(G56),DAY(G56)),IF(C56="Invalid","Ambil ulang","Ditentukan bidan"))))</f>
        <v>Ditentukan bidan</v>
      </c>
    </row>
    <row r="57" customFormat="false" ht="15" hidden="false" customHeight="true" outlineLevel="0" collapsed="false">
      <c r="A57" s="19" t="str">
        <f aca="false">'5 Format Standar'!C57</f>
        <v>P-0055</v>
      </c>
      <c r="B57" s="19" t="str">
        <f aca="false">'5 Format Standar'!A57</f>
        <v>NUSA HPV</v>
      </c>
      <c r="C57" s="19" t="str">
        <f aca="false">'5 Format Standar'!M57</f>
        <v>Negatif</v>
      </c>
      <c r="D57" s="25" t="n">
        <f aca="false">'5 Format Standar'!O57</f>
        <v>46307</v>
      </c>
      <c r="E57" s="25"/>
      <c r="F57" s="19" t="str">
        <f aca="false">IF(ISNUMBER(E57),E57-D57,"")</f>
        <v/>
      </c>
      <c r="G57" s="25"/>
      <c r="H57" s="19" t="str">
        <f aca="false">IF(ISNUMBER(G57),G57-D57,"")</f>
        <v/>
      </c>
      <c r="I57" s="19" t="str">
        <f aca="false">IF(OR(C57="Positif 16/18",C57="Positif lain"),IF(AND(ISNUMBER(H57),H57&lt;='Baca Dulu'!$B$16),"Ya","Tidak"),"")</f>
        <v/>
      </c>
      <c r="J57" s="19"/>
      <c r="K57" s="19"/>
      <c r="L57" s="19"/>
      <c r="M57" s="25" t="n">
        <f aca="false">IF(C57="Negatif",DATE(YEAR(D57)+'Baca Dulu'!$B$17,MONTH(D57),DAY(D57)),IF(AND(C57="Positif lain",J57="Negatif"),DATE(YEAR(G57)+'Baca Dulu'!$B$18,MONTH(G57),DAY(G57)),IF(AND(C57="Positif 16/18",J57="Negatif"),DATE(YEAR(G57)+'Baca Dulu'!$B$19,MONTH(G57),DAY(G57)),IF(C57="Invalid","Ambil ulang","Ditentukan bidan"))))</f>
        <v>49960</v>
      </c>
    </row>
    <row r="58" customFormat="false" ht="15" hidden="false" customHeight="true" outlineLevel="0" collapsed="false">
      <c r="A58" s="19" t="str">
        <f aca="false">'5 Format Standar'!C58</f>
        <v>P-0056</v>
      </c>
      <c r="B58" s="19" t="str">
        <f aca="false">'5 Format Standar'!A58</f>
        <v>NUSA HPV</v>
      </c>
      <c r="C58" s="19" t="str">
        <f aca="false">'5 Format Standar'!M58</f>
        <v>Positif lain</v>
      </c>
      <c r="D58" s="25" t="n">
        <f aca="false">'5 Format Standar'!O58</f>
        <v>46303</v>
      </c>
      <c r="E58" s="20" t="n">
        <f aca="false">D58+2</f>
        <v>46305</v>
      </c>
      <c r="F58" s="19" t="n">
        <f aca="false">IF(ISNUMBER(E58),E58-D58,"")</f>
        <v>2</v>
      </c>
      <c r="G58" s="20" t="n">
        <f aca="false">D58+47</f>
        <v>46350</v>
      </c>
      <c r="H58" s="19" t="n">
        <f aca="false">IF(ISNUMBER(G58),G58-D58,"")</f>
        <v>47</v>
      </c>
      <c r="I58" s="19" t="str">
        <f aca="false">IF(OR(C58="Positif 16/18",C58="Positif lain"),IF(AND(ISNUMBER(H58),H58&lt;='Baca Dulu'!$B$16),"Ya","Tidak"),"")</f>
        <v>Ya</v>
      </c>
      <c r="J58" s="17" t="s">
        <v>263</v>
      </c>
      <c r="K58" s="17" t="s">
        <v>779</v>
      </c>
      <c r="L58" s="17" t="s">
        <v>780</v>
      </c>
      <c r="M58" s="25" t="n">
        <f aca="false">IF(C58="Negatif",DATE(YEAR(D58)+'Baca Dulu'!$B$17,MONTH(D58),DAY(D58)),IF(AND(C58="Positif lain",J58="Negatif"),DATE(YEAR(G58)+'Baca Dulu'!$B$18,MONTH(G58),DAY(G58)),IF(AND(C58="Positif 16/18",J58="Negatif"),DATE(YEAR(G58)+'Baca Dulu'!$B$19,MONTH(G58),DAY(G58)),IF(C58="Invalid","Ambil ulang","Ditentukan bidan"))))</f>
        <v>47446</v>
      </c>
    </row>
    <row r="59" customFormat="false" ht="15" hidden="false" customHeight="true" outlineLevel="0" collapsed="false">
      <c r="A59" s="19" t="str">
        <f aca="false">'5 Format Standar'!C59</f>
        <v>P-0057</v>
      </c>
      <c r="B59" s="19" t="str">
        <f aca="false">'5 Format Standar'!A59</f>
        <v>NUSA HPV</v>
      </c>
      <c r="C59" s="19" t="str">
        <f aca="false">'5 Format Standar'!M59</f>
        <v>Negatif</v>
      </c>
      <c r="D59" s="25" t="n">
        <f aca="false">'5 Format Standar'!O59</f>
        <v>46303</v>
      </c>
      <c r="E59" s="25"/>
      <c r="F59" s="19" t="str">
        <f aca="false">IF(ISNUMBER(E59),E59-D59,"")</f>
        <v/>
      </c>
      <c r="G59" s="25"/>
      <c r="H59" s="19" t="str">
        <f aca="false">IF(ISNUMBER(G59),G59-D59,"")</f>
        <v/>
      </c>
      <c r="I59" s="19" t="str">
        <f aca="false">IF(OR(C59="Positif 16/18",C59="Positif lain"),IF(AND(ISNUMBER(H59),H59&lt;='Baca Dulu'!$B$16),"Ya","Tidak"),"")</f>
        <v/>
      </c>
      <c r="J59" s="19"/>
      <c r="K59" s="19"/>
      <c r="L59" s="19"/>
      <c r="M59" s="25" t="n">
        <f aca="false">IF(C59="Negatif",DATE(YEAR(D59)+'Baca Dulu'!$B$17,MONTH(D59),DAY(D59)),IF(AND(C59="Positif lain",J59="Negatif"),DATE(YEAR(G59)+'Baca Dulu'!$B$18,MONTH(G59),DAY(G59)),IF(AND(C59="Positif 16/18",J59="Negatif"),DATE(YEAR(G59)+'Baca Dulu'!$B$19,MONTH(G59),DAY(G59)),IF(C59="Invalid","Ambil ulang","Ditentukan bidan"))))</f>
        <v>49956</v>
      </c>
    </row>
    <row r="60" customFormat="false" ht="15" hidden="false" customHeight="true" outlineLevel="0" collapsed="false">
      <c r="A60" s="19" t="str">
        <f aca="false">'5 Format Standar'!C60</f>
        <v>P-0058</v>
      </c>
      <c r="B60" s="19" t="str">
        <f aca="false">'5 Format Standar'!A60</f>
        <v>NUSA HPV</v>
      </c>
      <c r="C60" s="19" t="str">
        <f aca="false">'5 Format Standar'!M60</f>
        <v>Negatif</v>
      </c>
      <c r="D60" s="25" t="n">
        <f aca="false">'5 Format Standar'!O60</f>
        <v>46304</v>
      </c>
      <c r="E60" s="25"/>
      <c r="F60" s="19" t="str">
        <f aca="false">IF(ISNUMBER(E60),E60-D60,"")</f>
        <v/>
      </c>
      <c r="G60" s="25"/>
      <c r="H60" s="19" t="str">
        <f aca="false">IF(ISNUMBER(G60),G60-D60,"")</f>
        <v/>
      </c>
      <c r="I60" s="19" t="str">
        <f aca="false">IF(OR(C60="Positif 16/18",C60="Positif lain"),IF(AND(ISNUMBER(H60),H60&lt;='Baca Dulu'!$B$16),"Ya","Tidak"),"")</f>
        <v/>
      </c>
      <c r="J60" s="19"/>
      <c r="K60" s="19"/>
      <c r="L60" s="19"/>
      <c r="M60" s="25" t="n">
        <f aca="false">IF(C60="Negatif",DATE(YEAR(D60)+'Baca Dulu'!$B$17,MONTH(D60),DAY(D60)),IF(AND(C60="Positif lain",J60="Negatif"),DATE(YEAR(G60)+'Baca Dulu'!$B$18,MONTH(G60),DAY(G60)),IF(AND(C60="Positif 16/18",J60="Negatif"),DATE(YEAR(G60)+'Baca Dulu'!$B$19,MONTH(G60),DAY(G60)),IF(C60="Invalid","Ambil ulang","Ditentukan bidan"))))</f>
        <v>49957</v>
      </c>
    </row>
    <row r="61" customFormat="false" ht="15" hidden="false" customHeight="true" outlineLevel="0" collapsed="false">
      <c r="A61" s="19" t="str">
        <f aca="false">'5 Format Standar'!C61</f>
        <v>P-0059</v>
      </c>
      <c r="B61" s="19" t="str">
        <f aca="false">'5 Format Standar'!A61</f>
        <v>NUSA HPV</v>
      </c>
      <c r="C61" s="19" t="str">
        <f aca="false">'5 Format Standar'!M61</f>
        <v>Invalid</v>
      </c>
      <c r="D61" s="25" t="n">
        <f aca="false">'5 Format Standar'!O61</f>
        <v>46302</v>
      </c>
      <c r="E61" s="25"/>
      <c r="F61" s="19" t="str">
        <f aca="false">IF(ISNUMBER(E61),E61-D61,"")</f>
        <v/>
      </c>
      <c r="G61" s="25"/>
      <c r="H61" s="19" t="str">
        <f aca="false">IF(ISNUMBER(G61),G61-D61,"")</f>
        <v/>
      </c>
      <c r="I61" s="19" t="str">
        <f aca="false">IF(OR(C61="Positif 16/18",C61="Positif lain"),IF(AND(ISNUMBER(H61),H61&lt;='Baca Dulu'!$B$16),"Ya","Tidak"),"")</f>
        <v/>
      </c>
      <c r="J61" s="19"/>
      <c r="K61" s="19"/>
      <c r="L61" s="19"/>
      <c r="M61" s="25" t="str">
        <f aca="false">IF(C61="Negatif",DATE(YEAR(D61)+'Baca Dulu'!$B$17,MONTH(D61),DAY(D61)),IF(AND(C61="Positif lain",J61="Negatif"),DATE(YEAR(G61)+'Baca Dulu'!$B$18,MONTH(G61),DAY(G61)),IF(AND(C61="Positif 16/18",J61="Negatif"),DATE(YEAR(G61)+'Baca Dulu'!$B$19,MONTH(G61),DAY(G61)),IF(C61="Invalid","Ambil ulang","Ditentukan bidan"))))</f>
        <v>Ambil ulang</v>
      </c>
    </row>
    <row r="62" customFormat="false" ht="15" hidden="false" customHeight="true" outlineLevel="0" collapsed="false">
      <c r="A62" s="19" t="str">
        <f aca="false">'5 Format Standar'!C62</f>
        <v>P-0060</v>
      </c>
      <c r="B62" s="19" t="str">
        <f aca="false">'5 Format Standar'!A62</f>
        <v>NUSA HPV</v>
      </c>
      <c r="C62" s="19" t="str">
        <f aca="false">'5 Format Standar'!M62</f>
        <v>Negatif</v>
      </c>
      <c r="D62" s="25" t="n">
        <f aca="false">'5 Format Standar'!O62</f>
        <v>46308</v>
      </c>
      <c r="E62" s="25"/>
      <c r="F62" s="19" t="str">
        <f aca="false">IF(ISNUMBER(E62),E62-D62,"")</f>
        <v/>
      </c>
      <c r="G62" s="25"/>
      <c r="H62" s="19" t="str">
        <f aca="false">IF(ISNUMBER(G62),G62-D62,"")</f>
        <v/>
      </c>
      <c r="I62" s="19" t="str">
        <f aca="false">IF(OR(C62="Positif 16/18",C62="Positif lain"),IF(AND(ISNUMBER(H62),H62&lt;='Baca Dulu'!$B$16),"Ya","Tidak"),"")</f>
        <v/>
      </c>
      <c r="J62" s="19"/>
      <c r="K62" s="19"/>
      <c r="L62" s="19"/>
      <c r="M62" s="25" t="n">
        <f aca="false">IF(C62="Negatif",DATE(YEAR(D62)+'Baca Dulu'!$B$17,MONTH(D62),DAY(D62)),IF(AND(C62="Positif lain",J62="Negatif"),DATE(YEAR(G62)+'Baca Dulu'!$B$18,MONTH(G62),DAY(G62)),IF(AND(C62="Positif 16/18",J62="Negatif"),DATE(YEAR(G62)+'Baca Dulu'!$B$19,MONTH(G62),DAY(G62)),IF(C62="Invalid","Ambil ulang","Ditentukan bidan"))))</f>
        <v>49961</v>
      </c>
    </row>
    <row r="63" customFormat="false" ht="15" hidden="false" customHeight="true" outlineLevel="0" collapsed="false">
      <c r="A63" s="19" t="str">
        <f aca="false">'5 Format Standar'!C63</f>
        <v>P-0061</v>
      </c>
      <c r="B63" s="19" t="str">
        <f aca="false">'5 Format Standar'!A63</f>
        <v>CerviScan</v>
      </c>
      <c r="C63" s="19" t="str">
        <f aca="false">'5 Format Standar'!M63</f>
        <v>Negatif</v>
      </c>
      <c r="D63" s="25" t="n">
        <f aca="false">'5 Format Standar'!O63</f>
        <v>46306</v>
      </c>
      <c r="E63" s="25"/>
      <c r="F63" s="19" t="str">
        <f aca="false">IF(ISNUMBER(E63),E63-D63,"")</f>
        <v/>
      </c>
      <c r="G63" s="25"/>
      <c r="H63" s="19" t="str">
        <f aca="false">IF(ISNUMBER(G63),G63-D63,"")</f>
        <v/>
      </c>
      <c r="I63" s="19" t="str">
        <f aca="false">IF(OR(C63="Positif 16/18",C63="Positif lain"),IF(AND(ISNUMBER(H63),H63&lt;='Baca Dulu'!$B$16),"Ya","Tidak"),"")</f>
        <v/>
      </c>
      <c r="J63" s="19"/>
      <c r="K63" s="19"/>
      <c r="L63" s="19"/>
      <c r="M63" s="25" t="n">
        <f aca="false">IF(C63="Negatif",DATE(YEAR(D63)+'Baca Dulu'!$B$17,MONTH(D63),DAY(D63)),IF(AND(C63="Positif lain",J63="Negatif"),DATE(YEAR(G63)+'Baca Dulu'!$B$18,MONTH(G63),DAY(G63)),IF(AND(C63="Positif 16/18",J63="Negatif"),DATE(YEAR(G63)+'Baca Dulu'!$B$19,MONTH(G63),DAY(G63)),IF(C63="Invalid","Ambil ulang","Ditentukan bidan"))))</f>
        <v>49959</v>
      </c>
    </row>
    <row r="64" customFormat="false" ht="15" hidden="false" customHeight="true" outlineLevel="0" collapsed="false">
      <c r="A64" s="19" t="str">
        <f aca="false">'5 Format Standar'!C64</f>
        <v>P-0062</v>
      </c>
      <c r="B64" s="19" t="str">
        <f aca="false">'5 Format Standar'!A64</f>
        <v>CerviScan</v>
      </c>
      <c r="C64" s="19" t="str">
        <f aca="false">'5 Format Standar'!M64</f>
        <v>Negatif</v>
      </c>
      <c r="D64" s="25" t="n">
        <f aca="false">'5 Format Standar'!O64</f>
        <v>46306</v>
      </c>
      <c r="E64" s="25"/>
      <c r="F64" s="19" t="str">
        <f aca="false">IF(ISNUMBER(E64),E64-D64,"")</f>
        <v/>
      </c>
      <c r="G64" s="25"/>
      <c r="H64" s="19" t="str">
        <f aca="false">IF(ISNUMBER(G64),G64-D64,"")</f>
        <v/>
      </c>
      <c r="I64" s="19" t="str">
        <f aca="false">IF(OR(C64="Positif 16/18",C64="Positif lain"),IF(AND(ISNUMBER(H64),H64&lt;='Baca Dulu'!$B$16),"Ya","Tidak"),"")</f>
        <v/>
      </c>
      <c r="J64" s="19"/>
      <c r="K64" s="19"/>
      <c r="L64" s="19"/>
      <c r="M64" s="25" t="n">
        <f aca="false">IF(C64="Negatif",DATE(YEAR(D64)+'Baca Dulu'!$B$17,MONTH(D64),DAY(D64)),IF(AND(C64="Positif lain",J64="Negatif"),DATE(YEAR(G64)+'Baca Dulu'!$B$18,MONTH(G64),DAY(G64)),IF(AND(C64="Positif 16/18",J64="Negatif"),DATE(YEAR(G64)+'Baca Dulu'!$B$19,MONTH(G64),DAY(G64)),IF(C64="Invalid","Ambil ulang","Ditentukan bidan"))))</f>
        <v>49959</v>
      </c>
    </row>
    <row r="65" customFormat="false" ht="15" hidden="false" customHeight="true" outlineLevel="0" collapsed="false">
      <c r="A65" s="19" t="str">
        <f aca="false">'5 Format Standar'!C65</f>
        <v>P-0063</v>
      </c>
      <c r="B65" s="19" t="str">
        <f aca="false">'5 Format Standar'!A65</f>
        <v>CerviScan</v>
      </c>
      <c r="C65" s="19" t="str">
        <f aca="false">'5 Format Standar'!M65</f>
        <v>Negatif</v>
      </c>
      <c r="D65" s="25" t="n">
        <f aca="false">'5 Format Standar'!O65</f>
        <v>46304</v>
      </c>
      <c r="E65" s="25"/>
      <c r="F65" s="19" t="str">
        <f aca="false">IF(ISNUMBER(E65),E65-D65,"")</f>
        <v/>
      </c>
      <c r="G65" s="25"/>
      <c r="H65" s="19" t="str">
        <f aca="false">IF(ISNUMBER(G65),G65-D65,"")</f>
        <v/>
      </c>
      <c r="I65" s="19" t="str">
        <f aca="false">IF(OR(C65="Positif 16/18",C65="Positif lain"),IF(AND(ISNUMBER(H65),H65&lt;='Baca Dulu'!$B$16),"Ya","Tidak"),"")</f>
        <v/>
      </c>
      <c r="J65" s="19"/>
      <c r="K65" s="19"/>
      <c r="L65" s="19"/>
      <c r="M65" s="25" t="n">
        <f aca="false">IF(C65="Negatif",DATE(YEAR(D65)+'Baca Dulu'!$B$17,MONTH(D65),DAY(D65)),IF(AND(C65="Positif lain",J65="Negatif"),DATE(YEAR(G65)+'Baca Dulu'!$B$18,MONTH(G65),DAY(G65)),IF(AND(C65="Positif 16/18",J65="Negatif"),DATE(YEAR(G65)+'Baca Dulu'!$B$19,MONTH(G65),DAY(G65)),IF(C65="Invalid","Ambil ulang","Ditentukan bidan"))))</f>
        <v>49957</v>
      </c>
    </row>
    <row r="66" customFormat="false" ht="15" hidden="false" customHeight="true" outlineLevel="0" collapsed="false">
      <c r="A66" s="19" t="str">
        <f aca="false">'5 Format Standar'!C66</f>
        <v>P-0064</v>
      </c>
      <c r="B66" s="19" t="str">
        <f aca="false">'5 Format Standar'!A66</f>
        <v>CerviScan</v>
      </c>
      <c r="C66" s="19" t="str">
        <f aca="false">'5 Format Standar'!M66</f>
        <v>Negatif</v>
      </c>
      <c r="D66" s="25" t="n">
        <f aca="false">'5 Format Standar'!O66</f>
        <v>46310</v>
      </c>
      <c r="E66" s="25"/>
      <c r="F66" s="19" t="str">
        <f aca="false">IF(ISNUMBER(E66),E66-D66,"")</f>
        <v/>
      </c>
      <c r="G66" s="25"/>
      <c r="H66" s="19" t="str">
        <f aca="false">IF(ISNUMBER(G66),G66-D66,"")</f>
        <v/>
      </c>
      <c r="I66" s="19" t="str">
        <f aca="false">IF(OR(C66="Positif 16/18",C66="Positif lain"),IF(AND(ISNUMBER(H66),H66&lt;='Baca Dulu'!$B$16),"Ya","Tidak"),"")</f>
        <v/>
      </c>
      <c r="J66" s="19"/>
      <c r="K66" s="19"/>
      <c r="L66" s="19"/>
      <c r="M66" s="25" t="n">
        <f aca="false">IF(C66="Negatif",DATE(YEAR(D66)+'Baca Dulu'!$B$17,MONTH(D66),DAY(D66)),IF(AND(C66="Positif lain",J66="Negatif"),DATE(YEAR(G66)+'Baca Dulu'!$B$18,MONTH(G66),DAY(G66)),IF(AND(C66="Positif 16/18",J66="Negatif"),DATE(YEAR(G66)+'Baca Dulu'!$B$19,MONTH(G66),DAY(G66)),IF(C66="Invalid","Ambil ulang","Ditentukan bidan"))))</f>
        <v>49963</v>
      </c>
    </row>
    <row r="67" customFormat="false" ht="15" hidden="false" customHeight="true" outlineLevel="0" collapsed="false">
      <c r="A67" s="19" t="str">
        <f aca="false">'5 Format Standar'!C67</f>
        <v>P-0065</v>
      </c>
      <c r="B67" s="19" t="str">
        <f aca="false">'5 Format Standar'!A67</f>
        <v>CerviScan</v>
      </c>
      <c r="C67" s="19" t="str">
        <f aca="false">'5 Format Standar'!M67</f>
        <v>Negatif</v>
      </c>
      <c r="D67" s="25" t="n">
        <f aca="false">'5 Format Standar'!O67</f>
        <v>46305</v>
      </c>
      <c r="E67" s="25"/>
      <c r="F67" s="19" t="str">
        <f aca="false">IF(ISNUMBER(E67),E67-D67,"")</f>
        <v/>
      </c>
      <c r="G67" s="25"/>
      <c r="H67" s="19" t="str">
        <f aca="false">IF(ISNUMBER(G67),G67-D67,"")</f>
        <v/>
      </c>
      <c r="I67" s="19" t="str">
        <f aca="false">IF(OR(C67="Positif 16/18",C67="Positif lain"),IF(AND(ISNUMBER(H67),H67&lt;='Baca Dulu'!$B$16),"Ya","Tidak"),"")</f>
        <v/>
      </c>
      <c r="J67" s="19"/>
      <c r="K67" s="19"/>
      <c r="L67" s="19"/>
      <c r="M67" s="25" t="n">
        <f aca="false">IF(C67="Negatif",DATE(YEAR(D67)+'Baca Dulu'!$B$17,MONTH(D67),DAY(D67)),IF(AND(C67="Positif lain",J67="Negatif"),DATE(YEAR(G67)+'Baca Dulu'!$B$18,MONTH(G67),DAY(G67)),IF(AND(C67="Positif 16/18",J67="Negatif"),DATE(YEAR(G67)+'Baca Dulu'!$B$19,MONTH(G67),DAY(G67)),IF(C67="Invalid","Ambil ulang","Ditentukan bidan"))))</f>
        <v>49958</v>
      </c>
    </row>
    <row r="68" customFormat="false" ht="15" hidden="false" customHeight="true" outlineLevel="0" collapsed="false">
      <c r="A68" s="19" t="str">
        <f aca="false">'5 Format Standar'!C68</f>
        <v>P-0066</v>
      </c>
      <c r="B68" s="19" t="str">
        <f aca="false">'5 Format Standar'!A68</f>
        <v>CerviScan</v>
      </c>
      <c r="C68" s="19" t="str">
        <f aca="false">'5 Format Standar'!M68</f>
        <v>Negatif</v>
      </c>
      <c r="D68" s="25" t="n">
        <f aca="false">'5 Format Standar'!O68</f>
        <v>46313</v>
      </c>
      <c r="E68" s="25"/>
      <c r="F68" s="19" t="str">
        <f aca="false">IF(ISNUMBER(E68),E68-D68,"")</f>
        <v/>
      </c>
      <c r="G68" s="25"/>
      <c r="H68" s="19" t="str">
        <f aca="false">IF(ISNUMBER(G68),G68-D68,"")</f>
        <v/>
      </c>
      <c r="I68" s="19" t="str">
        <f aca="false">IF(OR(C68="Positif 16/18",C68="Positif lain"),IF(AND(ISNUMBER(H68),H68&lt;='Baca Dulu'!$B$16),"Ya","Tidak"),"")</f>
        <v/>
      </c>
      <c r="J68" s="19"/>
      <c r="K68" s="19"/>
      <c r="L68" s="19"/>
      <c r="M68" s="25" t="n">
        <f aca="false">IF(C68="Negatif",DATE(YEAR(D68)+'Baca Dulu'!$B$17,MONTH(D68),DAY(D68)),IF(AND(C68="Positif lain",J68="Negatif"),DATE(YEAR(G68)+'Baca Dulu'!$B$18,MONTH(G68),DAY(G68)),IF(AND(C68="Positif 16/18",J68="Negatif"),DATE(YEAR(G68)+'Baca Dulu'!$B$19,MONTH(G68),DAY(G68)),IF(C68="Invalid","Ambil ulang","Ditentukan bidan"))))</f>
        <v>49966</v>
      </c>
    </row>
    <row r="69" customFormat="false" ht="15" hidden="false" customHeight="true" outlineLevel="0" collapsed="false">
      <c r="A69" s="19" t="str">
        <f aca="false">'5 Format Standar'!C69</f>
        <v>P-0067</v>
      </c>
      <c r="B69" s="19" t="str">
        <f aca="false">'5 Format Standar'!A69</f>
        <v>CerviScan</v>
      </c>
      <c r="C69" s="19" t="str">
        <f aca="false">'5 Format Standar'!M69</f>
        <v>Negatif</v>
      </c>
      <c r="D69" s="25" t="n">
        <f aca="false">'5 Format Standar'!O69</f>
        <v>46306</v>
      </c>
      <c r="E69" s="25"/>
      <c r="F69" s="19" t="str">
        <f aca="false">IF(ISNUMBER(E69),E69-D69,"")</f>
        <v/>
      </c>
      <c r="G69" s="25"/>
      <c r="H69" s="19" t="str">
        <f aca="false">IF(ISNUMBER(G69),G69-D69,"")</f>
        <v/>
      </c>
      <c r="I69" s="19" t="str">
        <f aca="false">IF(OR(C69="Positif 16/18",C69="Positif lain"),IF(AND(ISNUMBER(H69),H69&lt;='Baca Dulu'!$B$16),"Ya","Tidak"),"")</f>
        <v/>
      </c>
      <c r="J69" s="19"/>
      <c r="K69" s="19"/>
      <c r="L69" s="19"/>
      <c r="M69" s="25" t="n">
        <f aca="false">IF(C69="Negatif",DATE(YEAR(D69)+'Baca Dulu'!$B$17,MONTH(D69),DAY(D69)),IF(AND(C69="Positif lain",J69="Negatif"),DATE(YEAR(G69)+'Baca Dulu'!$B$18,MONTH(G69),DAY(G69)),IF(AND(C69="Positif 16/18",J69="Negatif"),DATE(YEAR(G69)+'Baca Dulu'!$B$19,MONTH(G69),DAY(G69)),IF(C69="Invalid","Ambil ulang","Ditentukan bidan"))))</f>
        <v>49959</v>
      </c>
    </row>
    <row r="70" customFormat="false" ht="15" hidden="false" customHeight="true" outlineLevel="0" collapsed="false">
      <c r="A70" s="19" t="str">
        <f aca="false">'5 Format Standar'!C70</f>
        <v>P-0068</v>
      </c>
      <c r="B70" s="19" t="str">
        <f aca="false">'5 Format Standar'!A70</f>
        <v>CerviScan</v>
      </c>
      <c r="C70" s="19" t="str">
        <f aca="false">'5 Format Standar'!M70</f>
        <v>Positif lain</v>
      </c>
      <c r="D70" s="25" t="n">
        <f aca="false">'5 Format Standar'!O70</f>
        <v>46311</v>
      </c>
      <c r="E70" s="20" t="n">
        <f aca="false">D70+1</f>
        <v>46312</v>
      </c>
      <c r="F70" s="19" t="n">
        <f aca="false">IF(ISNUMBER(E70),E70-D70,"")</f>
        <v>1</v>
      </c>
      <c r="G70" s="20" t="n">
        <f aca="false">D70+12</f>
        <v>46323</v>
      </c>
      <c r="H70" s="19" t="n">
        <f aca="false">IF(ISNUMBER(G70),G70-D70,"")</f>
        <v>12</v>
      </c>
      <c r="I70" s="19" t="str">
        <f aca="false">IF(OR(C70="Positif 16/18",C70="Positif lain"),IF(AND(ISNUMBER(H70),H70&lt;='Baca Dulu'!$B$16),"Ya","Tidak"),"")</f>
        <v>Ya</v>
      </c>
      <c r="J70" s="17" t="s">
        <v>263</v>
      </c>
      <c r="K70" s="17" t="s">
        <v>779</v>
      </c>
      <c r="L70" s="17" t="s">
        <v>780</v>
      </c>
      <c r="M70" s="25" t="n">
        <f aca="false">IF(C70="Negatif",DATE(YEAR(D70)+'Baca Dulu'!$B$17,MONTH(D70),DAY(D70)),IF(AND(C70="Positif lain",J70="Negatif"),DATE(YEAR(G70)+'Baca Dulu'!$B$18,MONTH(G70),DAY(G70)),IF(AND(C70="Positif 16/18",J70="Negatif"),DATE(YEAR(G70)+'Baca Dulu'!$B$19,MONTH(G70),DAY(G70)),IF(C70="Invalid","Ambil ulang","Ditentukan bidan"))))</f>
        <v>47419</v>
      </c>
    </row>
    <row r="71" customFormat="false" ht="15" hidden="false" customHeight="true" outlineLevel="0" collapsed="false">
      <c r="A71" s="19" t="str">
        <f aca="false">'5 Format Standar'!C71</f>
        <v>P-0069</v>
      </c>
      <c r="B71" s="19" t="str">
        <f aca="false">'5 Format Standar'!A71</f>
        <v>CerviScan</v>
      </c>
      <c r="C71" s="19" t="str">
        <f aca="false">'5 Format Standar'!M71</f>
        <v>Negatif</v>
      </c>
      <c r="D71" s="25" t="n">
        <f aca="false">'5 Format Standar'!O71</f>
        <v>46310</v>
      </c>
      <c r="E71" s="25"/>
      <c r="F71" s="19" t="str">
        <f aca="false">IF(ISNUMBER(E71),E71-D71,"")</f>
        <v/>
      </c>
      <c r="G71" s="25"/>
      <c r="H71" s="19" t="str">
        <f aca="false">IF(ISNUMBER(G71),G71-D71,"")</f>
        <v/>
      </c>
      <c r="I71" s="19" t="str">
        <f aca="false">IF(OR(C71="Positif 16/18",C71="Positif lain"),IF(AND(ISNUMBER(H71),H71&lt;='Baca Dulu'!$B$16),"Ya","Tidak"),"")</f>
        <v/>
      </c>
      <c r="J71" s="19"/>
      <c r="K71" s="19"/>
      <c r="L71" s="19"/>
      <c r="M71" s="25" t="n">
        <f aca="false">IF(C71="Negatif",DATE(YEAR(D71)+'Baca Dulu'!$B$17,MONTH(D71),DAY(D71)),IF(AND(C71="Positif lain",J71="Negatif"),DATE(YEAR(G71)+'Baca Dulu'!$B$18,MONTH(G71),DAY(G71)),IF(AND(C71="Positif 16/18",J71="Negatif"),DATE(YEAR(G71)+'Baca Dulu'!$B$19,MONTH(G71),DAY(G71)),IF(C71="Invalid","Ambil ulang","Ditentukan bidan"))))</f>
        <v>49963</v>
      </c>
    </row>
    <row r="72" customFormat="false" ht="15" hidden="false" customHeight="true" outlineLevel="0" collapsed="false">
      <c r="A72" s="19" t="str">
        <f aca="false">'5 Format Standar'!C72</f>
        <v>P-0070</v>
      </c>
      <c r="B72" s="19" t="str">
        <f aca="false">'5 Format Standar'!A72</f>
        <v>CerviScan</v>
      </c>
      <c r="C72" s="19" t="str">
        <f aca="false">'5 Format Standar'!M72</f>
        <v>Negatif</v>
      </c>
      <c r="D72" s="25" t="n">
        <f aca="false">'5 Format Standar'!O72</f>
        <v>46310</v>
      </c>
      <c r="E72" s="25"/>
      <c r="F72" s="19" t="str">
        <f aca="false">IF(ISNUMBER(E72),E72-D72,"")</f>
        <v/>
      </c>
      <c r="G72" s="25"/>
      <c r="H72" s="19" t="str">
        <f aca="false">IF(ISNUMBER(G72),G72-D72,"")</f>
        <v/>
      </c>
      <c r="I72" s="19" t="str">
        <f aca="false">IF(OR(C72="Positif 16/18",C72="Positif lain"),IF(AND(ISNUMBER(H72),H72&lt;='Baca Dulu'!$B$16),"Ya","Tidak"),"")</f>
        <v/>
      </c>
      <c r="J72" s="19"/>
      <c r="K72" s="19"/>
      <c r="L72" s="19"/>
      <c r="M72" s="25" t="n">
        <f aca="false">IF(C72="Negatif",DATE(YEAR(D72)+'Baca Dulu'!$B$17,MONTH(D72),DAY(D72)),IF(AND(C72="Positif lain",J72="Negatif"),DATE(YEAR(G72)+'Baca Dulu'!$B$18,MONTH(G72),DAY(G72)),IF(AND(C72="Positif 16/18",J72="Negatif"),DATE(YEAR(G72)+'Baca Dulu'!$B$19,MONTH(G72),DAY(G72)),IF(C72="Invalid","Ambil ulang","Ditentukan bidan"))))</f>
        <v>49963</v>
      </c>
    </row>
    <row r="73" customFormat="false" ht="15" hidden="false" customHeight="true" outlineLevel="0" collapsed="false">
      <c r="A73" s="19" t="str">
        <f aca="false">'5 Format Standar'!C73</f>
        <v>P-0071</v>
      </c>
      <c r="B73" s="19" t="str">
        <f aca="false">'5 Format Standar'!A73</f>
        <v>CerviScan</v>
      </c>
      <c r="C73" s="19" t="str">
        <f aca="false">'5 Format Standar'!M73</f>
        <v>Invalid</v>
      </c>
      <c r="D73" s="25" t="n">
        <f aca="false">'5 Format Standar'!O73</f>
        <v>46305</v>
      </c>
      <c r="E73" s="25"/>
      <c r="F73" s="19" t="str">
        <f aca="false">IF(ISNUMBER(E73),E73-D73,"")</f>
        <v/>
      </c>
      <c r="G73" s="25"/>
      <c r="H73" s="19" t="str">
        <f aca="false">IF(ISNUMBER(G73),G73-D73,"")</f>
        <v/>
      </c>
      <c r="I73" s="19" t="str">
        <f aca="false">IF(OR(C73="Positif 16/18",C73="Positif lain"),IF(AND(ISNUMBER(H73),H73&lt;='Baca Dulu'!$B$16),"Ya","Tidak"),"")</f>
        <v/>
      </c>
      <c r="J73" s="19"/>
      <c r="K73" s="19"/>
      <c r="L73" s="19"/>
      <c r="M73" s="25" t="str">
        <f aca="false">IF(C73="Negatif",DATE(YEAR(D73)+'Baca Dulu'!$B$17,MONTH(D73),DAY(D73)),IF(AND(C73="Positif lain",J73="Negatif"),DATE(YEAR(G73)+'Baca Dulu'!$B$18,MONTH(G73),DAY(G73)),IF(AND(C73="Positif 16/18",J73="Negatif"),DATE(YEAR(G73)+'Baca Dulu'!$B$19,MONTH(G73),DAY(G73)),IF(C73="Invalid","Ambil ulang","Ditentukan bidan"))))</f>
        <v>Ambil ulang</v>
      </c>
    </row>
    <row r="74" customFormat="false" ht="15" hidden="false" customHeight="true" outlineLevel="0" collapsed="false">
      <c r="A74" s="19" t="str">
        <f aca="false">'5 Format Standar'!C74</f>
        <v>P-0072</v>
      </c>
      <c r="B74" s="19" t="str">
        <f aca="false">'5 Format Standar'!A74</f>
        <v>CerviScan</v>
      </c>
      <c r="C74" s="19" t="str">
        <f aca="false">'5 Format Standar'!M74</f>
        <v>Negatif</v>
      </c>
      <c r="D74" s="25" t="n">
        <f aca="false">'5 Format Standar'!O74</f>
        <v>46306</v>
      </c>
      <c r="E74" s="25"/>
      <c r="F74" s="19" t="str">
        <f aca="false">IF(ISNUMBER(E74),E74-D74,"")</f>
        <v/>
      </c>
      <c r="G74" s="25"/>
      <c r="H74" s="19" t="str">
        <f aca="false">IF(ISNUMBER(G74),G74-D74,"")</f>
        <v/>
      </c>
      <c r="I74" s="19" t="str">
        <f aca="false">IF(OR(C74="Positif 16/18",C74="Positif lain"),IF(AND(ISNUMBER(H74),H74&lt;='Baca Dulu'!$B$16),"Ya","Tidak"),"")</f>
        <v/>
      </c>
      <c r="J74" s="19"/>
      <c r="K74" s="19"/>
      <c r="L74" s="19"/>
      <c r="M74" s="25" t="n">
        <f aca="false">IF(C74="Negatif",DATE(YEAR(D74)+'Baca Dulu'!$B$17,MONTH(D74),DAY(D74)),IF(AND(C74="Positif lain",J74="Negatif"),DATE(YEAR(G74)+'Baca Dulu'!$B$18,MONTH(G74),DAY(G74)),IF(AND(C74="Positif 16/18",J74="Negatif"),DATE(YEAR(G74)+'Baca Dulu'!$B$19,MONTH(G74),DAY(G74)),IF(C74="Invalid","Ambil ulang","Ditentukan bidan"))))</f>
        <v>49959</v>
      </c>
    </row>
    <row r="75" customFormat="false" ht="15" hidden="false" customHeight="true" outlineLevel="0" collapsed="false">
      <c r="A75" s="19" t="str">
        <f aca="false">'5 Format Standar'!C75</f>
        <v>P-0073</v>
      </c>
      <c r="B75" s="19" t="str">
        <f aca="false">'5 Format Standar'!A75</f>
        <v>CerviScan</v>
      </c>
      <c r="C75" s="19" t="str">
        <f aca="false">'5 Format Standar'!M75</f>
        <v>Positif 16/18</v>
      </c>
      <c r="D75" s="25" t="n">
        <f aca="false">'5 Format Standar'!O75</f>
        <v>46307</v>
      </c>
      <c r="E75" s="20" t="n">
        <f aca="false">D75+2</f>
        <v>46309</v>
      </c>
      <c r="F75" s="19" t="n">
        <f aca="false">IF(ISNUMBER(E75),E75-D75,"")</f>
        <v>2</v>
      </c>
      <c r="G75" s="20" t="n">
        <f aca="false">D75+25</f>
        <v>46332</v>
      </c>
      <c r="H75" s="19" t="n">
        <f aca="false">IF(ISNUMBER(G75),G75-D75,"")</f>
        <v>25</v>
      </c>
      <c r="I75" s="19" t="str">
        <f aca="false">IF(OR(C75="Positif 16/18",C75="Positif lain"),IF(AND(ISNUMBER(H75),H75&lt;='Baca Dulu'!$B$16),"Ya","Tidak"),"")</f>
        <v>Ya</v>
      </c>
      <c r="J75" s="17" t="s">
        <v>781</v>
      </c>
      <c r="K75" s="17" t="s">
        <v>782</v>
      </c>
      <c r="L75" s="17" t="s">
        <v>780</v>
      </c>
      <c r="M75" s="25" t="str">
        <f aca="false">IF(C75="Negatif",DATE(YEAR(D75)+'Baca Dulu'!$B$17,MONTH(D75),DAY(D75)),IF(AND(C75="Positif lain",J75="Negatif"),DATE(YEAR(G75)+'Baca Dulu'!$B$18,MONTH(G75),DAY(G75)),IF(AND(C75="Positif 16/18",J75="Negatif"),DATE(YEAR(G75)+'Baca Dulu'!$B$19,MONTH(G75),DAY(G75)),IF(C75="Invalid","Ambil ulang","Ditentukan bidan"))))</f>
        <v>Ditentukan bidan</v>
      </c>
    </row>
    <row r="76" customFormat="false" ht="15" hidden="false" customHeight="true" outlineLevel="0" collapsed="false">
      <c r="A76" s="19" t="str">
        <f aca="false">'5 Format Standar'!C76</f>
        <v>P-0074</v>
      </c>
      <c r="B76" s="19" t="str">
        <f aca="false">'5 Format Standar'!A76</f>
        <v>CerviScan</v>
      </c>
      <c r="C76" s="19" t="str">
        <f aca="false">'5 Format Standar'!M76</f>
        <v>Negatif</v>
      </c>
      <c r="D76" s="25" t="n">
        <f aca="false">'5 Format Standar'!O76</f>
        <v>46305</v>
      </c>
      <c r="E76" s="25"/>
      <c r="F76" s="19" t="str">
        <f aca="false">IF(ISNUMBER(E76),E76-D76,"")</f>
        <v/>
      </c>
      <c r="G76" s="25"/>
      <c r="H76" s="19" t="str">
        <f aca="false">IF(ISNUMBER(G76),G76-D76,"")</f>
        <v/>
      </c>
      <c r="I76" s="19" t="str">
        <f aca="false">IF(OR(C76="Positif 16/18",C76="Positif lain"),IF(AND(ISNUMBER(H76),H76&lt;='Baca Dulu'!$B$16),"Ya","Tidak"),"")</f>
        <v/>
      </c>
      <c r="J76" s="19"/>
      <c r="K76" s="19"/>
      <c r="L76" s="19"/>
      <c r="M76" s="25" t="n">
        <f aca="false">IF(C76="Negatif",DATE(YEAR(D76)+'Baca Dulu'!$B$17,MONTH(D76),DAY(D76)),IF(AND(C76="Positif lain",J76="Negatif"),DATE(YEAR(G76)+'Baca Dulu'!$B$18,MONTH(G76),DAY(G76)),IF(AND(C76="Positif 16/18",J76="Negatif"),DATE(YEAR(G76)+'Baca Dulu'!$B$19,MONTH(G76),DAY(G76)),IF(C76="Invalid","Ambil ulang","Ditentukan bidan"))))</f>
        <v>49958</v>
      </c>
    </row>
    <row r="77" customFormat="false" ht="15" hidden="false" customHeight="true" outlineLevel="0" collapsed="false">
      <c r="A77" s="19" t="str">
        <f aca="false">'5 Format Standar'!C77</f>
        <v>P-0075</v>
      </c>
      <c r="B77" s="19" t="str">
        <f aca="false">'5 Format Standar'!A77</f>
        <v>CerviScan</v>
      </c>
      <c r="C77" s="19" t="str">
        <f aca="false">'5 Format Standar'!M77</f>
        <v>Invalid</v>
      </c>
      <c r="D77" s="25" t="n">
        <f aca="false">'5 Format Standar'!O77</f>
        <v>46313</v>
      </c>
      <c r="E77" s="25"/>
      <c r="F77" s="19" t="str">
        <f aca="false">IF(ISNUMBER(E77),E77-D77,"")</f>
        <v/>
      </c>
      <c r="G77" s="25"/>
      <c r="H77" s="19" t="str">
        <f aca="false">IF(ISNUMBER(G77),G77-D77,"")</f>
        <v/>
      </c>
      <c r="I77" s="19" t="str">
        <f aca="false">IF(OR(C77="Positif 16/18",C77="Positif lain"),IF(AND(ISNUMBER(H77),H77&lt;='Baca Dulu'!$B$16),"Ya","Tidak"),"")</f>
        <v/>
      </c>
      <c r="J77" s="19"/>
      <c r="K77" s="19"/>
      <c r="L77" s="19"/>
      <c r="M77" s="25" t="str">
        <f aca="false">IF(C77="Negatif",DATE(YEAR(D77)+'Baca Dulu'!$B$17,MONTH(D77),DAY(D77)),IF(AND(C77="Positif lain",J77="Negatif"),DATE(YEAR(G77)+'Baca Dulu'!$B$18,MONTH(G77),DAY(G77)),IF(AND(C77="Positif 16/18",J77="Negatif"),DATE(YEAR(G77)+'Baca Dulu'!$B$19,MONTH(G77),DAY(G77)),IF(C77="Invalid","Ambil ulang","Ditentukan bidan"))))</f>
        <v>Ambil ulang</v>
      </c>
    </row>
    <row r="78" customFormat="false" ht="15" hidden="false" customHeight="true" outlineLevel="0" collapsed="false">
      <c r="A78" s="19" t="str">
        <f aca="false">'5 Format Standar'!C78</f>
        <v>P-0076</v>
      </c>
      <c r="B78" s="19" t="str">
        <f aca="false">'5 Format Standar'!A78</f>
        <v>CerviScan</v>
      </c>
      <c r="C78" s="19" t="str">
        <f aca="false">'5 Format Standar'!M78</f>
        <v>Positif lain</v>
      </c>
      <c r="D78" s="25" t="n">
        <f aca="false">'5 Format Standar'!O78</f>
        <v>46308</v>
      </c>
      <c r="E78" s="20" t="n">
        <f aca="false">D78+1</f>
        <v>46309</v>
      </c>
      <c r="F78" s="19" t="n">
        <f aca="false">IF(ISNUMBER(E78),E78-D78,"")</f>
        <v>1</v>
      </c>
      <c r="G78" s="20" t="n">
        <f aca="false">D78+18</f>
        <v>46326</v>
      </c>
      <c r="H78" s="19" t="n">
        <f aca="false">IF(ISNUMBER(G78),G78-D78,"")</f>
        <v>18</v>
      </c>
      <c r="I78" s="19" t="str">
        <f aca="false">IF(OR(C78="Positif 16/18",C78="Positif lain"),IF(AND(ISNUMBER(H78),H78&lt;='Baca Dulu'!$B$16),"Ya","Tidak"),"")</f>
        <v>Ya</v>
      </c>
      <c r="J78" s="17" t="s">
        <v>263</v>
      </c>
      <c r="K78" s="17" t="s">
        <v>779</v>
      </c>
      <c r="L78" s="17" t="s">
        <v>780</v>
      </c>
      <c r="M78" s="25" t="n">
        <f aca="false">IF(C78="Negatif",DATE(YEAR(D78)+'Baca Dulu'!$B$17,MONTH(D78),DAY(D78)),IF(AND(C78="Positif lain",J78="Negatif"),DATE(YEAR(G78)+'Baca Dulu'!$B$18,MONTH(G78),DAY(G78)),IF(AND(C78="Positif 16/18",J78="Negatif"),DATE(YEAR(G78)+'Baca Dulu'!$B$19,MONTH(G78),DAY(G78)),IF(C78="Invalid","Ambil ulang","Ditentukan bidan"))))</f>
        <v>47422</v>
      </c>
    </row>
    <row r="79" customFormat="false" ht="15" hidden="false" customHeight="true" outlineLevel="0" collapsed="false">
      <c r="A79" s="19" t="str">
        <f aca="false">'5 Format Standar'!C79</f>
        <v>P-0077</v>
      </c>
      <c r="B79" s="19" t="str">
        <f aca="false">'5 Format Standar'!A79</f>
        <v>CerviScan</v>
      </c>
      <c r="C79" s="19" t="str">
        <f aca="false">'5 Format Standar'!M79</f>
        <v>Negatif</v>
      </c>
      <c r="D79" s="25" t="n">
        <f aca="false">'5 Format Standar'!O79</f>
        <v>46305</v>
      </c>
      <c r="E79" s="25"/>
      <c r="F79" s="19" t="str">
        <f aca="false">IF(ISNUMBER(E79),E79-D79,"")</f>
        <v/>
      </c>
      <c r="G79" s="25"/>
      <c r="H79" s="19" t="str">
        <f aca="false">IF(ISNUMBER(G79),G79-D79,"")</f>
        <v/>
      </c>
      <c r="I79" s="19" t="str">
        <f aca="false">IF(OR(C79="Positif 16/18",C79="Positif lain"),IF(AND(ISNUMBER(H79),H79&lt;='Baca Dulu'!$B$16),"Ya","Tidak"),"")</f>
        <v/>
      </c>
      <c r="J79" s="19"/>
      <c r="K79" s="19"/>
      <c r="L79" s="19"/>
      <c r="M79" s="25" t="n">
        <f aca="false">IF(C79="Negatif",DATE(YEAR(D79)+'Baca Dulu'!$B$17,MONTH(D79),DAY(D79)),IF(AND(C79="Positif lain",J79="Negatif"),DATE(YEAR(G79)+'Baca Dulu'!$B$18,MONTH(G79),DAY(G79)),IF(AND(C79="Positif 16/18",J79="Negatif"),DATE(YEAR(G79)+'Baca Dulu'!$B$19,MONTH(G79),DAY(G79)),IF(C79="Invalid","Ambil ulang","Ditentukan bidan"))))</f>
        <v>49958</v>
      </c>
    </row>
    <row r="80" customFormat="false" ht="15" hidden="false" customHeight="true" outlineLevel="0" collapsed="false">
      <c r="A80" s="19" t="str">
        <f aca="false">'5 Format Standar'!C80</f>
        <v>P-0078</v>
      </c>
      <c r="B80" s="19" t="str">
        <f aca="false">'5 Format Standar'!A80</f>
        <v>CerviScan</v>
      </c>
      <c r="C80" s="19" t="str">
        <f aca="false">'5 Format Standar'!M80</f>
        <v>Negatif</v>
      </c>
      <c r="D80" s="25" t="n">
        <f aca="false">'5 Format Standar'!O80</f>
        <v>46311</v>
      </c>
      <c r="E80" s="25"/>
      <c r="F80" s="19" t="str">
        <f aca="false">IF(ISNUMBER(E80),E80-D80,"")</f>
        <v/>
      </c>
      <c r="G80" s="25"/>
      <c r="H80" s="19" t="str">
        <f aca="false">IF(ISNUMBER(G80),G80-D80,"")</f>
        <v/>
      </c>
      <c r="I80" s="19" t="str">
        <f aca="false">IF(OR(C80="Positif 16/18",C80="Positif lain"),IF(AND(ISNUMBER(H80),H80&lt;='Baca Dulu'!$B$16),"Ya","Tidak"),"")</f>
        <v/>
      </c>
      <c r="J80" s="19"/>
      <c r="K80" s="19"/>
      <c r="L80" s="19"/>
      <c r="M80" s="25" t="n">
        <f aca="false">IF(C80="Negatif",DATE(YEAR(D80)+'Baca Dulu'!$B$17,MONTH(D80),DAY(D80)),IF(AND(C80="Positif lain",J80="Negatif"),DATE(YEAR(G80)+'Baca Dulu'!$B$18,MONTH(G80),DAY(G80)),IF(AND(C80="Positif 16/18",J80="Negatif"),DATE(YEAR(G80)+'Baca Dulu'!$B$19,MONTH(G80),DAY(G80)),IF(C80="Invalid","Ambil ulang","Ditentukan bidan"))))</f>
        <v>49964</v>
      </c>
    </row>
    <row r="81" customFormat="false" ht="15" hidden="false" customHeight="true" outlineLevel="0" collapsed="false">
      <c r="A81" s="19" t="str">
        <f aca="false">'5 Format Standar'!C81</f>
        <v>P-0079</v>
      </c>
      <c r="B81" s="19" t="str">
        <f aca="false">'5 Format Standar'!A81</f>
        <v>CerviScan</v>
      </c>
      <c r="C81" s="19" t="str">
        <f aca="false">'5 Format Standar'!M81</f>
        <v>Positif lain</v>
      </c>
      <c r="D81" s="25" t="n">
        <f aca="false">'5 Format Standar'!O81</f>
        <v>46309</v>
      </c>
      <c r="E81" s="20" t="n">
        <f aca="false">D81+3</f>
        <v>46312</v>
      </c>
      <c r="F81" s="19" t="n">
        <f aca="false">IF(ISNUMBER(E81),E81-D81,"")</f>
        <v>3</v>
      </c>
      <c r="G81" s="20"/>
      <c r="H81" s="19" t="str">
        <f aca="false">IF(ISNUMBER(G81),G81-D81,"")</f>
        <v/>
      </c>
      <c r="I81" s="19" t="str">
        <f aca="false">IF(OR(C81="Positif 16/18",C81="Positif lain"),IF(AND(ISNUMBER(H81),H81&lt;='Baca Dulu'!$B$16),"Ya","Tidak"),"")</f>
        <v>Tidak</v>
      </c>
      <c r="J81" s="17"/>
      <c r="K81" s="17"/>
      <c r="L81" s="17"/>
      <c r="M81" s="25" t="str">
        <f aca="false">IF(C81="Negatif",DATE(YEAR(D81)+'Baca Dulu'!$B$17,MONTH(D81),DAY(D81)),IF(AND(C81="Positif lain",J81="Negatif"),DATE(YEAR(G81)+'Baca Dulu'!$B$18,MONTH(G81),DAY(G81)),IF(AND(C81="Positif 16/18",J81="Negatif"),DATE(YEAR(G81)+'Baca Dulu'!$B$19,MONTH(G81),DAY(G81)),IF(C81="Invalid","Ambil ulang","Ditentukan bidan"))))</f>
        <v>Ditentukan bidan</v>
      </c>
    </row>
    <row r="82" customFormat="false" ht="15" hidden="false" customHeight="true" outlineLevel="0" collapsed="false">
      <c r="A82" s="19" t="str">
        <f aca="false">'5 Format Standar'!C82</f>
        <v>P-0080</v>
      </c>
      <c r="B82" s="19" t="str">
        <f aca="false">'5 Format Standar'!A82</f>
        <v>CerviScan</v>
      </c>
      <c r="C82" s="19" t="str">
        <f aca="false">'5 Format Standar'!M82</f>
        <v>Negatif</v>
      </c>
      <c r="D82" s="25" t="n">
        <f aca="false">'5 Format Standar'!O82</f>
        <v>46308</v>
      </c>
      <c r="E82" s="25"/>
      <c r="F82" s="19" t="str">
        <f aca="false">IF(ISNUMBER(E82),E82-D82,"")</f>
        <v/>
      </c>
      <c r="G82" s="25"/>
      <c r="H82" s="19" t="str">
        <f aca="false">IF(ISNUMBER(G82),G82-D82,"")</f>
        <v/>
      </c>
      <c r="I82" s="19" t="str">
        <f aca="false">IF(OR(C82="Positif 16/18",C82="Positif lain"),IF(AND(ISNUMBER(H82),H82&lt;='Baca Dulu'!$B$16),"Ya","Tidak"),"")</f>
        <v/>
      </c>
      <c r="J82" s="19"/>
      <c r="K82" s="19"/>
      <c r="L82" s="19"/>
      <c r="M82" s="25" t="n">
        <f aca="false">IF(C82="Negatif",DATE(YEAR(D82)+'Baca Dulu'!$B$17,MONTH(D82),DAY(D82)),IF(AND(C82="Positif lain",J82="Negatif"),DATE(YEAR(G82)+'Baca Dulu'!$B$18,MONTH(G82),DAY(G82)),IF(AND(C82="Positif 16/18",J82="Negatif"),DATE(YEAR(G82)+'Baca Dulu'!$B$19,MONTH(G82),DAY(G82)),IF(C82="Invalid","Ambil ulang","Ditentukan bidan"))))</f>
        <v>49961</v>
      </c>
    </row>
    <row r="83" customFormat="false" ht="15" hidden="false" customHeight="true" outlineLevel="0" collapsed="false">
      <c r="A83" s="19" t="str">
        <f aca="false">'5 Format Standar'!C83</f>
        <v>P-0081</v>
      </c>
      <c r="B83" s="19" t="str">
        <f aca="false">'5 Format Standar'!A83</f>
        <v>CerviScan</v>
      </c>
      <c r="C83" s="19" t="str">
        <f aca="false">'5 Format Standar'!M83</f>
        <v>Positif 16/18</v>
      </c>
      <c r="D83" s="25" t="n">
        <f aca="false">'5 Format Standar'!O83</f>
        <v>46309</v>
      </c>
      <c r="E83" s="20" t="n">
        <f aca="false">D83+2</f>
        <v>46311</v>
      </c>
      <c r="F83" s="19" t="n">
        <f aca="false">IF(ISNUMBER(E83),E83-D83,"")</f>
        <v>2</v>
      </c>
      <c r="G83" s="20" t="n">
        <f aca="false">D83+33</f>
        <v>46342</v>
      </c>
      <c r="H83" s="19" t="n">
        <f aca="false">IF(ISNUMBER(G83),G83-D83,"")</f>
        <v>33</v>
      </c>
      <c r="I83" s="19" t="str">
        <f aca="false">IF(OR(C83="Positif 16/18",C83="Positif lain"),IF(AND(ISNUMBER(H83),H83&lt;='Baca Dulu'!$B$16),"Ya","Tidak"),"")</f>
        <v>Ya</v>
      </c>
      <c r="J83" s="17" t="s">
        <v>263</v>
      </c>
      <c r="K83" s="17" t="s">
        <v>779</v>
      </c>
      <c r="L83" s="17" t="s">
        <v>780</v>
      </c>
      <c r="M83" s="25" t="n">
        <f aca="false">IF(C83="Negatif",DATE(YEAR(D83)+'Baca Dulu'!$B$17,MONTH(D83),DAY(D83)),IF(AND(C83="Positif lain",J83="Negatif"),DATE(YEAR(G83)+'Baca Dulu'!$B$18,MONTH(G83),DAY(G83)),IF(AND(C83="Positif 16/18",J83="Negatif"),DATE(YEAR(G83)+'Baca Dulu'!$B$19,MONTH(G83),DAY(G83)),IF(C83="Invalid","Ambil ulang","Ditentukan bidan"))))</f>
        <v>46707</v>
      </c>
    </row>
    <row r="84" customFormat="false" ht="15" hidden="false" customHeight="true" outlineLevel="0" collapsed="false">
      <c r="A84" s="19" t="str">
        <f aca="false">'5 Format Standar'!C84</f>
        <v>P-0082</v>
      </c>
      <c r="B84" s="19" t="str">
        <f aca="false">'5 Format Standar'!A84</f>
        <v>CerviScan</v>
      </c>
      <c r="C84" s="19" t="str">
        <f aca="false">'5 Format Standar'!M84</f>
        <v>Positif lain</v>
      </c>
      <c r="D84" s="25" t="n">
        <f aca="false">'5 Format Standar'!O84</f>
        <v>46309</v>
      </c>
      <c r="E84" s="20" t="n">
        <f aca="false">D84+1</f>
        <v>46310</v>
      </c>
      <c r="F84" s="19" t="n">
        <f aca="false">IF(ISNUMBER(E84),E84-D84,"")</f>
        <v>1</v>
      </c>
      <c r="G84" s="20" t="n">
        <f aca="false">D84+41</f>
        <v>46350</v>
      </c>
      <c r="H84" s="19" t="n">
        <f aca="false">IF(ISNUMBER(G84),G84-D84,"")</f>
        <v>41</v>
      </c>
      <c r="I84" s="19" t="str">
        <f aca="false">IF(OR(C84="Positif 16/18",C84="Positif lain"),IF(AND(ISNUMBER(H84),H84&lt;='Baca Dulu'!$B$16),"Ya","Tidak"),"")</f>
        <v>Ya</v>
      </c>
      <c r="J84" s="17" t="s">
        <v>263</v>
      </c>
      <c r="K84" s="17" t="s">
        <v>779</v>
      </c>
      <c r="L84" s="17" t="s">
        <v>780</v>
      </c>
      <c r="M84" s="25" t="n">
        <f aca="false">IF(C84="Negatif",DATE(YEAR(D84)+'Baca Dulu'!$B$17,MONTH(D84),DAY(D84)),IF(AND(C84="Positif lain",J84="Negatif"),DATE(YEAR(G84)+'Baca Dulu'!$B$18,MONTH(G84),DAY(G84)),IF(AND(C84="Positif 16/18",J84="Negatif"),DATE(YEAR(G84)+'Baca Dulu'!$B$19,MONTH(G84),DAY(G84)),IF(C84="Invalid","Ambil ulang","Ditentukan bidan"))))</f>
        <v>47446</v>
      </c>
    </row>
    <row r="85" customFormat="false" ht="15" hidden="false" customHeight="true" outlineLevel="0" collapsed="false">
      <c r="A85" s="19" t="str">
        <f aca="false">'5 Format Standar'!C85</f>
        <v>P-0083</v>
      </c>
      <c r="B85" s="19" t="str">
        <f aca="false">'5 Format Standar'!A85</f>
        <v>CerviScan</v>
      </c>
      <c r="C85" s="19" t="str">
        <f aca="false">'5 Format Standar'!M85</f>
        <v>Negatif</v>
      </c>
      <c r="D85" s="25" t="n">
        <f aca="false">'5 Format Standar'!O85</f>
        <v>46313</v>
      </c>
      <c r="E85" s="25"/>
      <c r="F85" s="19" t="str">
        <f aca="false">IF(ISNUMBER(E85),E85-D85,"")</f>
        <v/>
      </c>
      <c r="G85" s="25"/>
      <c r="H85" s="19" t="str">
        <f aca="false">IF(ISNUMBER(G85),G85-D85,"")</f>
        <v/>
      </c>
      <c r="I85" s="19" t="str">
        <f aca="false">IF(OR(C85="Positif 16/18",C85="Positif lain"),IF(AND(ISNUMBER(H85),H85&lt;='Baca Dulu'!$B$16),"Ya","Tidak"),"")</f>
        <v/>
      </c>
      <c r="J85" s="19"/>
      <c r="K85" s="19"/>
      <c r="L85" s="19"/>
      <c r="M85" s="25" t="n">
        <f aca="false">IF(C85="Negatif",DATE(YEAR(D85)+'Baca Dulu'!$B$17,MONTH(D85),DAY(D85)),IF(AND(C85="Positif lain",J85="Negatif"),DATE(YEAR(G85)+'Baca Dulu'!$B$18,MONTH(G85),DAY(G85)),IF(AND(C85="Positif 16/18",J85="Negatif"),DATE(YEAR(G85)+'Baca Dulu'!$B$19,MONTH(G85),DAY(G85)),IF(C85="Invalid","Ambil ulang","Ditentukan bidan"))))</f>
        <v>49966</v>
      </c>
    </row>
    <row r="86" customFormat="false" ht="15" hidden="false" customHeight="true" outlineLevel="0" collapsed="false">
      <c r="A86" s="19" t="str">
        <f aca="false">'5 Format Standar'!C86</f>
        <v>P-0084</v>
      </c>
      <c r="B86" s="19" t="str">
        <f aca="false">'5 Format Standar'!A86</f>
        <v>CerviScan</v>
      </c>
      <c r="C86" s="19" t="str">
        <f aca="false">'5 Format Standar'!M86</f>
        <v>Positif lain</v>
      </c>
      <c r="D86" s="25" t="n">
        <f aca="false">'5 Format Standar'!O86</f>
        <v>46306</v>
      </c>
      <c r="E86" s="20" t="n">
        <f aca="false">D86+2</f>
        <v>46308</v>
      </c>
      <c r="F86" s="19" t="n">
        <f aca="false">IF(ISNUMBER(E86),E86-D86,"")</f>
        <v>2</v>
      </c>
      <c r="G86" s="20" t="n">
        <f aca="false">D86+55</f>
        <v>46361</v>
      </c>
      <c r="H86" s="19" t="n">
        <f aca="false">IF(ISNUMBER(G86),G86-D86,"")</f>
        <v>55</v>
      </c>
      <c r="I86" s="19" t="str">
        <f aca="false">IF(OR(C86="Positif 16/18",C86="Positif lain"),IF(AND(ISNUMBER(H86),H86&lt;='Baca Dulu'!$B$16),"Ya","Tidak"),"")</f>
        <v>Ya</v>
      </c>
      <c r="J86" s="17" t="s">
        <v>783</v>
      </c>
      <c r="K86" s="17" t="s">
        <v>784</v>
      </c>
      <c r="L86" s="17" t="s">
        <v>785</v>
      </c>
      <c r="M86" s="25" t="str">
        <f aca="false">IF(C86="Negatif",DATE(YEAR(D86)+'Baca Dulu'!$B$17,MONTH(D86),DAY(D86)),IF(AND(C86="Positif lain",J86="Negatif"),DATE(YEAR(G86)+'Baca Dulu'!$B$18,MONTH(G86),DAY(G86)),IF(AND(C86="Positif 16/18",J86="Negatif"),DATE(YEAR(G86)+'Baca Dulu'!$B$19,MONTH(G86),DAY(G86)),IF(C86="Invalid","Ambil ulang","Ditentukan bidan"))))</f>
        <v>Ditentukan bidan</v>
      </c>
    </row>
    <row r="87" customFormat="false" ht="15" hidden="false" customHeight="true" outlineLevel="0" collapsed="false">
      <c r="A87" s="19" t="str">
        <f aca="false">'5 Format Standar'!C87</f>
        <v>P-0085</v>
      </c>
      <c r="B87" s="19" t="str">
        <f aca="false">'5 Format Standar'!A87</f>
        <v>CerviScan</v>
      </c>
      <c r="C87" s="19" t="str">
        <f aca="false">'5 Format Standar'!M87</f>
        <v>Negatif</v>
      </c>
      <c r="D87" s="25" t="n">
        <f aca="false">'5 Format Standar'!O87</f>
        <v>46313</v>
      </c>
      <c r="E87" s="25"/>
      <c r="F87" s="19" t="str">
        <f aca="false">IF(ISNUMBER(E87),E87-D87,"")</f>
        <v/>
      </c>
      <c r="G87" s="25"/>
      <c r="H87" s="19" t="str">
        <f aca="false">IF(ISNUMBER(G87),G87-D87,"")</f>
        <v/>
      </c>
      <c r="I87" s="19" t="str">
        <f aca="false">IF(OR(C87="Positif 16/18",C87="Positif lain"),IF(AND(ISNUMBER(H87),H87&lt;='Baca Dulu'!$B$16),"Ya","Tidak"),"")</f>
        <v/>
      </c>
      <c r="J87" s="19"/>
      <c r="K87" s="19"/>
      <c r="L87" s="19"/>
      <c r="M87" s="25" t="n">
        <f aca="false">IF(C87="Negatif",DATE(YEAR(D87)+'Baca Dulu'!$B$17,MONTH(D87),DAY(D87)),IF(AND(C87="Positif lain",J87="Negatif"),DATE(YEAR(G87)+'Baca Dulu'!$B$18,MONTH(G87),DAY(G87)),IF(AND(C87="Positif 16/18",J87="Negatif"),DATE(YEAR(G87)+'Baca Dulu'!$B$19,MONTH(G87),DAY(G87)),IF(C87="Invalid","Ambil ulang","Ditentukan bidan"))))</f>
        <v>49966</v>
      </c>
    </row>
    <row r="88" customFormat="false" ht="15" hidden="false" customHeight="true" outlineLevel="0" collapsed="false">
      <c r="A88" s="19" t="str">
        <f aca="false">'5 Format Standar'!C88</f>
        <v>P-0086</v>
      </c>
      <c r="B88" s="19" t="str">
        <f aca="false">'5 Format Standar'!A88</f>
        <v>CerviScan</v>
      </c>
      <c r="C88" s="19" t="str">
        <f aca="false">'5 Format Standar'!M88</f>
        <v>Negatif</v>
      </c>
      <c r="D88" s="25" t="n">
        <f aca="false">'5 Format Standar'!O88</f>
        <v>46308</v>
      </c>
      <c r="E88" s="25"/>
      <c r="F88" s="19" t="str">
        <f aca="false">IF(ISNUMBER(E88),E88-D88,"")</f>
        <v/>
      </c>
      <c r="G88" s="25"/>
      <c r="H88" s="19" t="str">
        <f aca="false">IF(ISNUMBER(G88),G88-D88,"")</f>
        <v/>
      </c>
      <c r="I88" s="19" t="str">
        <f aca="false">IF(OR(C88="Positif 16/18",C88="Positif lain"),IF(AND(ISNUMBER(H88),H88&lt;='Baca Dulu'!$B$16),"Ya","Tidak"),"")</f>
        <v/>
      </c>
      <c r="J88" s="19"/>
      <c r="K88" s="19"/>
      <c r="L88" s="19"/>
      <c r="M88" s="25" t="n">
        <f aca="false">IF(C88="Negatif",DATE(YEAR(D88)+'Baca Dulu'!$B$17,MONTH(D88),DAY(D88)),IF(AND(C88="Positif lain",J88="Negatif"),DATE(YEAR(G88)+'Baca Dulu'!$B$18,MONTH(G88),DAY(G88)),IF(AND(C88="Positif 16/18",J88="Negatif"),DATE(YEAR(G88)+'Baca Dulu'!$B$19,MONTH(G88),DAY(G88)),IF(C88="Invalid","Ambil ulang","Ditentukan bidan"))))</f>
        <v>49961</v>
      </c>
    </row>
    <row r="89" customFormat="false" ht="15" hidden="false" customHeight="true" outlineLevel="0" collapsed="false">
      <c r="A89" s="19" t="str">
        <f aca="false">'5 Format Standar'!C89</f>
        <v>P-0087</v>
      </c>
      <c r="B89" s="19" t="str">
        <f aca="false">'5 Format Standar'!A89</f>
        <v>CerviScan</v>
      </c>
      <c r="C89" s="19" t="str">
        <f aca="false">'5 Format Standar'!M89</f>
        <v>Negatif</v>
      </c>
      <c r="D89" s="25" t="n">
        <f aca="false">'5 Format Standar'!O89</f>
        <v>46312</v>
      </c>
      <c r="E89" s="25"/>
      <c r="F89" s="19" t="str">
        <f aca="false">IF(ISNUMBER(E89),E89-D89,"")</f>
        <v/>
      </c>
      <c r="G89" s="25"/>
      <c r="H89" s="19" t="str">
        <f aca="false">IF(ISNUMBER(G89),G89-D89,"")</f>
        <v/>
      </c>
      <c r="I89" s="19" t="str">
        <f aca="false">IF(OR(C89="Positif 16/18",C89="Positif lain"),IF(AND(ISNUMBER(H89),H89&lt;='Baca Dulu'!$B$16),"Ya","Tidak"),"")</f>
        <v/>
      </c>
      <c r="J89" s="19"/>
      <c r="K89" s="19"/>
      <c r="L89" s="19"/>
      <c r="M89" s="25" t="n">
        <f aca="false">IF(C89="Negatif",DATE(YEAR(D89)+'Baca Dulu'!$B$17,MONTH(D89),DAY(D89)),IF(AND(C89="Positif lain",J89="Negatif"),DATE(YEAR(G89)+'Baca Dulu'!$B$18,MONTH(G89),DAY(G89)),IF(AND(C89="Positif 16/18",J89="Negatif"),DATE(YEAR(G89)+'Baca Dulu'!$B$19,MONTH(G89),DAY(G89)),IF(C89="Invalid","Ambil ulang","Ditentukan bidan"))))</f>
        <v>49965</v>
      </c>
    </row>
    <row r="90" customFormat="false" ht="15" hidden="false" customHeight="true" outlineLevel="0" collapsed="false">
      <c r="A90" s="19" t="str">
        <f aca="false">'5 Format Standar'!C90</f>
        <v>P-0088</v>
      </c>
      <c r="B90" s="19" t="str">
        <f aca="false">'5 Format Standar'!A90</f>
        <v>CerviScan</v>
      </c>
      <c r="C90" s="19" t="str">
        <f aca="false">'5 Format Standar'!M90</f>
        <v>Negatif</v>
      </c>
      <c r="D90" s="25" t="n">
        <f aca="false">'5 Format Standar'!O90</f>
        <v>46303</v>
      </c>
      <c r="E90" s="25"/>
      <c r="F90" s="19" t="str">
        <f aca="false">IF(ISNUMBER(E90),E90-D90,"")</f>
        <v/>
      </c>
      <c r="G90" s="25"/>
      <c r="H90" s="19" t="str">
        <f aca="false">IF(ISNUMBER(G90),G90-D90,"")</f>
        <v/>
      </c>
      <c r="I90" s="19" t="str">
        <f aca="false">IF(OR(C90="Positif 16/18",C90="Positif lain"),IF(AND(ISNUMBER(H90),H90&lt;='Baca Dulu'!$B$16),"Ya","Tidak"),"")</f>
        <v/>
      </c>
      <c r="J90" s="19"/>
      <c r="K90" s="19"/>
      <c r="L90" s="19"/>
      <c r="M90" s="25" t="n">
        <f aca="false">IF(C90="Negatif",DATE(YEAR(D90)+'Baca Dulu'!$B$17,MONTH(D90),DAY(D90)),IF(AND(C90="Positif lain",J90="Negatif"),DATE(YEAR(G90)+'Baca Dulu'!$B$18,MONTH(G90),DAY(G90)),IF(AND(C90="Positif 16/18",J90="Negatif"),DATE(YEAR(G90)+'Baca Dulu'!$B$19,MONTH(G90),DAY(G90)),IF(C90="Invalid","Ambil ulang","Ditentukan bidan"))))</f>
        <v>49956</v>
      </c>
    </row>
    <row r="91" customFormat="false" ht="15" hidden="false" customHeight="true" outlineLevel="0" collapsed="false">
      <c r="A91" s="19" t="str">
        <f aca="false">'5 Format Standar'!C91</f>
        <v>P-0089</v>
      </c>
      <c r="B91" s="19" t="str">
        <f aca="false">'5 Format Standar'!A91</f>
        <v>CerviScan</v>
      </c>
      <c r="C91" s="19" t="str">
        <f aca="false">'5 Format Standar'!M91</f>
        <v>Negatif</v>
      </c>
      <c r="D91" s="25" t="n">
        <f aca="false">'5 Format Standar'!O91</f>
        <v>46309</v>
      </c>
      <c r="E91" s="25"/>
      <c r="F91" s="19" t="str">
        <f aca="false">IF(ISNUMBER(E91),E91-D91,"")</f>
        <v/>
      </c>
      <c r="G91" s="25"/>
      <c r="H91" s="19" t="str">
        <f aca="false">IF(ISNUMBER(G91),G91-D91,"")</f>
        <v/>
      </c>
      <c r="I91" s="19" t="str">
        <f aca="false">IF(OR(C91="Positif 16/18",C91="Positif lain"),IF(AND(ISNUMBER(H91),H91&lt;='Baca Dulu'!$B$16),"Ya","Tidak"),"")</f>
        <v/>
      </c>
      <c r="J91" s="19"/>
      <c r="K91" s="19"/>
      <c r="L91" s="19"/>
      <c r="M91" s="25" t="n">
        <f aca="false">IF(C91="Negatif",DATE(YEAR(D91)+'Baca Dulu'!$B$17,MONTH(D91),DAY(D91)),IF(AND(C91="Positif lain",J91="Negatif"),DATE(YEAR(G91)+'Baca Dulu'!$B$18,MONTH(G91),DAY(G91)),IF(AND(C91="Positif 16/18",J91="Negatif"),DATE(YEAR(G91)+'Baca Dulu'!$B$19,MONTH(G91),DAY(G91)),IF(C91="Invalid","Ambil ulang","Ditentukan bidan"))))</f>
        <v>49962</v>
      </c>
    </row>
    <row r="92" customFormat="false" ht="15" hidden="false" customHeight="true" outlineLevel="0" collapsed="false">
      <c r="A92" s="19" t="str">
        <f aca="false">'5 Format Standar'!C92</f>
        <v>P-0090</v>
      </c>
      <c r="B92" s="19" t="str">
        <f aca="false">'5 Format Standar'!A92</f>
        <v>CerviScan</v>
      </c>
      <c r="C92" s="19" t="str">
        <f aca="false">'5 Format Standar'!M92</f>
        <v>Positif 16/18</v>
      </c>
      <c r="D92" s="25" t="n">
        <f aca="false">'5 Format Standar'!O92</f>
        <v>46312</v>
      </c>
      <c r="E92" s="20" t="n">
        <f aca="false">D92+4</f>
        <v>46316</v>
      </c>
      <c r="F92" s="19" t="n">
        <f aca="false">IF(ISNUMBER(E92),E92-D92,"")</f>
        <v>4</v>
      </c>
      <c r="G92" s="20" t="n">
        <f aca="false">D92+72</f>
        <v>46384</v>
      </c>
      <c r="H92" s="19" t="n">
        <f aca="false">IF(ISNUMBER(G92),G92-D92,"")</f>
        <v>72</v>
      </c>
      <c r="I92" s="19" t="str">
        <f aca="false">IF(OR(C92="Positif 16/18",C92="Positif lain"),IF(AND(ISNUMBER(H92),H92&lt;='Baca Dulu'!$B$16),"Ya","Tidak"),"")</f>
        <v>Tidak</v>
      </c>
      <c r="J92" s="17" t="s">
        <v>263</v>
      </c>
      <c r="K92" s="17" t="s">
        <v>779</v>
      </c>
      <c r="L92" s="17" t="s">
        <v>780</v>
      </c>
      <c r="M92" s="25" t="n">
        <f aca="false">IF(C92="Negatif",DATE(YEAR(D92)+'Baca Dulu'!$B$17,MONTH(D92),DAY(D92)),IF(AND(C92="Positif lain",J92="Negatif"),DATE(YEAR(G92)+'Baca Dulu'!$B$18,MONTH(G92),DAY(G92)),IF(AND(C92="Positif 16/18",J92="Negatif"),DATE(YEAR(G92)+'Baca Dulu'!$B$19,MONTH(G92),DAY(G92)),IF(C92="Invalid","Ambil ulang","Ditentukan bidan"))))</f>
        <v>46749</v>
      </c>
    </row>
    <row r="93" customFormat="false" ht="15" hidden="false" customHeight="true" outlineLevel="0" collapsed="false">
      <c r="A93" s="19" t="str">
        <f aca="false">'5 Format Standar'!C93</f>
        <v>P-0091</v>
      </c>
      <c r="B93" s="19" t="str">
        <f aca="false">'5 Format Standar'!A93</f>
        <v>CerviScan</v>
      </c>
      <c r="C93" s="19" t="str">
        <f aca="false">'5 Format Standar'!M93</f>
        <v>Negatif</v>
      </c>
      <c r="D93" s="25" t="n">
        <f aca="false">'5 Format Standar'!O93</f>
        <v>46304</v>
      </c>
      <c r="E93" s="25"/>
      <c r="F93" s="19" t="str">
        <f aca="false">IF(ISNUMBER(E93),E93-D93,"")</f>
        <v/>
      </c>
      <c r="G93" s="25"/>
      <c r="H93" s="19" t="str">
        <f aca="false">IF(ISNUMBER(G93),G93-D93,"")</f>
        <v/>
      </c>
      <c r="I93" s="19" t="str">
        <f aca="false">IF(OR(C93="Positif 16/18",C93="Positif lain"),IF(AND(ISNUMBER(H93),H93&lt;='Baca Dulu'!$B$16),"Ya","Tidak"),"")</f>
        <v/>
      </c>
      <c r="J93" s="19"/>
      <c r="K93" s="19"/>
      <c r="L93" s="19"/>
      <c r="M93" s="25" t="n">
        <f aca="false">IF(C93="Negatif",DATE(YEAR(D93)+'Baca Dulu'!$B$17,MONTH(D93),DAY(D93)),IF(AND(C93="Positif lain",J93="Negatif"),DATE(YEAR(G93)+'Baca Dulu'!$B$18,MONTH(G93),DAY(G93)),IF(AND(C93="Positif 16/18",J93="Negatif"),DATE(YEAR(G93)+'Baca Dulu'!$B$19,MONTH(G93),DAY(G93)),IF(C93="Invalid","Ambil ulang","Ditentukan bidan"))))</f>
        <v>49957</v>
      </c>
    </row>
    <row r="94" customFormat="false" ht="15" hidden="false" customHeight="true" outlineLevel="0" collapsed="false">
      <c r="A94" s="19" t="str">
        <f aca="false">'5 Format Standar'!C94</f>
        <v>P-0092</v>
      </c>
      <c r="B94" s="19" t="str">
        <f aca="false">'5 Format Standar'!A94</f>
        <v>CerviScan</v>
      </c>
      <c r="C94" s="19" t="str">
        <f aca="false">'5 Format Standar'!M94</f>
        <v>Positif lain</v>
      </c>
      <c r="D94" s="25" t="n">
        <f aca="false">'5 Format Standar'!O94</f>
        <v>46305</v>
      </c>
      <c r="E94" s="20" t="n">
        <f aca="false">D94+1</f>
        <v>46306</v>
      </c>
      <c r="F94" s="19" t="n">
        <f aca="false">IF(ISNUMBER(E94),E94-D94,"")</f>
        <v>1</v>
      </c>
      <c r="G94" s="20" t="n">
        <f aca="false">D94+20</f>
        <v>46325</v>
      </c>
      <c r="H94" s="19" t="n">
        <f aca="false">IF(ISNUMBER(G94),G94-D94,"")</f>
        <v>20</v>
      </c>
      <c r="I94" s="19" t="str">
        <f aca="false">IF(OR(C94="Positif 16/18",C94="Positif lain"),IF(AND(ISNUMBER(H94),H94&lt;='Baca Dulu'!$B$16),"Ya","Tidak"),"")</f>
        <v>Ya</v>
      </c>
      <c r="J94" s="17" t="s">
        <v>781</v>
      </c>
      <c r="K94" s="17" t="s">
        <v>786</v>
      </c>
      <c r="L94" s="17" t="s">
        <v>780</v>
      </c>
      <c r="M94" s="25" t="str">
        <f aca="false">IF(C94="Negatif",DATE(YEAR(D94)+'Baca Dulu'!$B$17,MONTH(D94),DAY(D94)),IF(AND(C94="Positif lain",J94="Negatif"),DATE(YEAR(G94)+'Baca Dulu'!$B$18,MONTH(G94),DAY(G94)),IF(AND(C94="Positif 16/18",J94="Negatif"),DATE(YEAR(G94)+'Baca Dulu'!$B$19,MONTH(G94),DAY(G94)),IF(C94="Invalid","Ambil ulang","Ditentukan bidan"))))</f>
        <v>Ditentukan bidan</v>
      </c>
    </row>
    <row r="95" customFormat="false" ht="15" hidden="false" customHeight="true" outlineLevel="0" collapsed="false">
      <c r="A95" s="19" t="str">
        <f aca="false">'5 Format Standar'!C95</f>
        <v>P-0093</v>
      </c>
      <c r="B95" s="19" t="str">
        <f aca="false">'5 Format Standar'!A95</f>
        <v>CerviScan</v>
      </c>
      <c r="C95" s="19" t="str">
        <f aca="false">'5 Format Standar'!M95</f>
        <v>Negatif</v>
      </c>
      <c r="D95" s="25" t="n">
        <f aca="false">'5 Format Standar'!O95</f>
        <v>46313</v>
      </c>
      <c r="E95" s="25"/>
      <c r="F95" s="19" t="str">
        <f aca="false">IF(ISNUMBER(E95),E95-D95,"")</f>
        <v/>
      </c>
      <c r="G95" s="25"/>
      <c r="H95" s="19" t="str">
        <f aca="false">IF(ISNUMBER(G95),G95-D95,"")</f>
        <v/>
      </c>
      <c r="I95" s="19" t="str">
        <f aca="false">IF(OR(C95="Positif 16/18",C95="Positif lain"),IF(AND(ISNUMBER(H95),H95&lt;='Baca Dulu'!$B$16),"Ya","Tidak"),"")</f>
        <v/>
      </c>
      <c r="J95" s="19"/>
      <c r="K95" s="19"/>
      <c r="L95" s="19"/>
      <c r="M95" s="25" t="n">
        <f aca="false">IF(C95="Negatif",DATE(YEAR(D95)+'Baca Dulu'!$B$17,MONTH(D95),DAY(D95)),IF(AND(C95="Positif lain",J95="Negatif"),DATE(YEAR(G95)+'Baca Dulu'!$B$18,MONTH(G95),DAY(G95)),IF(AND(C95="Positif 16/18",J95="Negatif"),DATE(YEAR(G95)+'Baca Dulu'!$B$19,MONTH(G95),DAY(G95)),IF(C95="Invalid","Ambil ulang","Ditentukan bidan"))))</f>
        <v>49966</v>
      </c>
    </row>
    <row r="96" customFormat="false" ht="15" hidden="false" customHeight="true" outlineLevel="0" collapsed="false">
      <c r="A96" s="19" t="str">
        <f aca="false">'5 Format Standar'!C96</f>
        <v>P-0094</v>
      </c>
      <c r="B96" s="19" t="str">
        <f aca="false">'5 Format Standar'!A96</f>
        <v>CerviScan</v>
      </c>
      <c r="C96" s="19" t="str">
        <f aca="false">'5 Format Standar'!M96</f>
        <v>Negatif</v>
      </c>
      <c r="D96" s="25" t="n">
        <f aca="false">'5 Format Standar'!O96</f>
        <v>46311</v>
      </c>
      <c r="E96" s="25"/>
      <c r="F96" s="19" t="str">
        <f aca="false">IF(ISNUMBER(E96),E96-D96,"")</f>
        <v/>
      </c>
      <c r="G96" s="25"/>
      <c r="H96" s="19" t="str">
        <f aca="false">IF(ISNUMBER(G96),G96-D96,"")</f>
        <v/>
      </c>
      <c r="I96" s="19" t="str">
        <f aca="false">IF(OR(C96="Positif 16/18",C96="Positif lain"),IF(AND(ISNUMBER(H96),H96&lt;='Baca Dulu'!$B$16),"Ya","Tidak"),"")</f>
        <v/>
      </c>
      <c r="J96" s="19"/>
      <c r="K96" s="19"/>
      <c r="L96" s="19"/>
      <c r="M96" s="25" t="n">
        <f aca="false">IF(C96="Negatif",DATE(YEAR(D96)+'Baca Dulu'!$B$17,MONTH(D96),DAY(D96)),IF(AND(C96="Positif lain",J96="Negatif"),DATE(YEAR(G96)+'Baca Dulu'!$B$18,MONTH(G96),DAY(G96)),IF(AND(C96="Positif 16/18",J96="Negatif"),DATE(YEAR(G96)+'Baca Dulu'!$B$19,MONTH(G96),DAY(G96)),IF(C96="Invalid","Ambil ulang","Ditentukan bidan"))))</f>
        <v>49964</v>
      </c>
    </row>
    <row r="97" customFormat="false" ht="15" hidden="false" customHeight="true" outlineLevel="0" collapsed="false">
      <c r="A97" s="19" t="str">
        <f aca="false">'5 Format Standar'!C97</f>
        <v>P-0095</v>
      </c>
      <c r="B97" s="19" t="str">
        <f aca="false">'5 Format Standar'!A97</f>
        <v>CerviScan</v>
      </c>
      <c r="C97" s="19" t="str">
        <f aca="false">'5 Format Standar'!M97</f>
        <v>Negatif</v>
      </c>
      <c r="D97" s="25" t="n">
        <f aca="false">'5 Format Standar'!O97</f>
        <v>46310</v>
      </c>
      <c r="E97" s="25"/>
      <c r="F97" s="19" t="str">
        <f aca="false">IF(ISNUMBER(E97),E97-D97,"")</f>
        <v/>
      </c>
      <c r="G97" s="25"/>
      <c r="H97" s="19" t="str">
        <f aca="false">IF(ISNUMBER(G97),G97-D97,"")</f>
        <v/>
      </c>
      <c r="I97" s="19" t="str">
        <f aca="false">IF(OR(C97="Positif 16/18",C97="Positif lain"),IF(AND(ISNUMBER(H97),H97&lt;='Baca Dulu'!$B$16),"Ya","Tidak"),"")</f>
        <v/>
      </c>
      <c r="J97" s="19"/>
      <c r="K97" s="19"/>
      <c r="L97" s="19"/>
      <c r="M97" s="25" t="n">
        <f aca="false">IF(C97="Negatif",DATE(YEAR(D97)+'Baca Dulu'!$B$17,MONTH(D97),DAY(D97)),IF(AND(C97="Positif lain",J97="Negatif"),DATE(YEAR(G97)+'Baca Dulu'!$B$18,MONTH(G97),DAY(G97)),IF(AND(C97="Positif 16/18",J97="Negatif"),DATE(YEAR(G97)+'Baca Dulu'!$B$19,MONTH(G97),DAY(G97)),IF(C97="Invalid","Ambil ulang","Ditentukan bidan"))))</f>
        <v>49963</v>
      </c>
    </row>
    <row r="98" customFormat="false" ht="15" hidden="false" customHeight="true" outlineLevel="0" collapsed="false">
      <c r="A98" s="19" t="str">
        <f aca="false">'5 Format Standar'!C98</f>
        <v>P-0096</v>
      </c>
      <c r="B98" s="19" t="str">
        <f aca="false">'5 Format Standar'!A98</f>
        <v>CerviScan</v>
      </c>
      <c r="C98" s="19" t="str">
        <f aca="false">'5 Format Standar'!M98</f>
        <v>Negatif</v>
      </c>
      <c r="D98" s="25" t="n">
        <f aca="false">'5 Format Standar'!O98</f>
        <v>46314</v>
      </c>
      <c r="E98" s="25"/>
      <c r="F98" s="19" t="str">
        <f aca="false">IF(ISNUMBER(E98),E98-D98,"")</f>
        <v/>
      </c>
      <c r="G98" s="25"/>
      <c r="H98" s="19" t="str">
        <f aca="false">IF(ISNUMBER(G98),G98-D98,"")</f>
        <v/>
      </c>
      <c r="I98" s="19" t="str">
        <f aca="false">IF(OR(C98="Positif 16/18",C98="Positif lain"),IF(AND(ISNUMBER(H98),H98&lt;='Baca Dulu'!$B$16),"Ya","Tidak"),"")</f>
        <v/>
      </c>
      <c r="J98" s="19"/>
      <c r="K98" s="19"/>
      <c r="L98" s="19"/>
      <c r="M98" s="25" t="n">
        <f aca="false">IF(C98="Negatif",DATE(YEAR(D98)+'Baca Dulu'!$B$17,MONTH(D98),DAY(D98)),IF(AND(C98="Positif lain",J98="Negatif"),DATE(YEAR(G98)+'Baca Dulu'!$B$18,MONTH(G98),DAY(G98)),IF(AND(C98="Positif 16/18",J98="Negatif"),DATE(YEAR(G98)+'Baca Dulu'!$B$19,MONTH(G98),DAY(G98)),IF(C98="Invalid","Ambil ulang","Ditentukan bidan"))))</f>
        <v>49967</v>
      </c>
    </row>
    <row r="99" customFormat="false" ht="15" hidden="false" customHeight="true" outlineLevel="0" collapsed="false">
      <c r="A99" s="19" t="str">
        <f aca="false">'5 Format Standar'!C99</f>
        <v>P-0097</v>
      </c>
      <c r="B99" s="19" t="str">
        <f aca="false">'5 Format Standar'!A99</f>
        <v>CerviScan</v>
      </c>
      <c r="C99" s="19" t="str">
        <f aca="false">'5 Format Standar'!M99</f>
        <v>Negatif</v>
      </c>
      <c r="D99" s="25" t="n">
        <f aca="false">'5 Format Standar'!O99</f>
        <v>46303</v>
      </c>
      <c r="E99" s="25"/>
      <c r="F99" s="19" t="str">
        <f aca="false">IF(ISNUMBER(E99),E99-D99,"")</f>
        <v/>
      </c>
      <c r="G99" s="25"/>
      <c r="H99" s="19" t="str">
        <f aca="false">IF(ISNUMBER(G99),G99-D99,"")</f>
        <v/>
      </c>
      <c r="I99" s="19" t="str">
        <f aca="false">IF(OR(C99="Positif 16/18",C99="Positif lain"),IF(AND(ISNUMBER(H99),H99&lt;='Baca Dulu'!$B$16),"Ya","Tidak"),"")</f>
        <v/>
      </c>
      <c r="J99" s="19"/>
      <c r="K99" s="19"/>
      <c r="L99" s="19"/>
      <c r="M99" s="25" t="n">
        <f aca="false">IF(C99="Negatif",DATE(YEAR(D99)+'Baca Dulu'!$B$17,MONTH(D99),DAY(D99)),IF(AND(C99="Positif lain",J99="Negatif"),DATE(YEAR(G99)+'Baca Dulu'!$B$18,MONTH(G99),DAY(G99)),IF(AND(C99="Positif 16/18",J99="Negatif"),DATE(YEAR(G99)+'Baca Dulu'!$B$19,MONTH(G99),DAY(G99)),IF(C99="Invalid","Ambil ulang","Ditentukan bidan"))))</f>
        <v>49956</v>
      </c>
    </row>
    <row r="100" customFormat="false" ht="15" hidden="false" customHeight="true" outlineLevel="0" collapsed="false">
      <c r="A100" s="19" t="str">
        <f aca="false">'5 Format Standar'!C100</f>
        <v>P-0098</v>
      </c>
      <c r="B100" s="19" t="str">
        <f aca="false">'5 Format Standar'!A100</f>
        <v>CerviScan</v>
      </c>
      <c r="C100" s="19" t="str">
        <f aca="false">'5 Format Standar'!M100</f>
        <v>Negatif</v>
      </c>
      <c r="D100" s="25" t="n">
        <f aca="false">'5 Format Standar'!O100</f>
        <v>46311</v>
      </c>
      <c r="E100" s="25"/>
      <c r="F100" s="19" t="str">
        <f aca="false">IF(ISNUMBER(E100),E100-D100,"")</f>
        <v/>
      </c>
      <c r="G100" s="25"/>
      <c r="H100" s="19" t="str">
        <f aca="false">IF(ISNUMBER(G100),G100-D100,"")</f>
        <v/>
      </c>
      <c r="I100" s="19" t="str">
        <f aca="false">IF(OR(C100="Positif 16/18",C100="Positif lain"),IF(AND(ISNUMBER(H100),H100&lt;='Baca Dulu'!$B$16),"Ya","Tidak"),"")</f>
        <v/>
      </c>
      <c r="J100" s="19"/>
      <c r="K100" s="19"/>
      <c r="L100" s="19"/>
      <c r="M100" s="25" t="n">
        <f aca="false">IF(C100="Negatif",DATE(YEAR(D100)+'Baca Dulu'!$B$17,MONTH(D100),DAY(D100)),IF(AND(C100="Positif lain",J100="Negatif"),DATE(YEAR(G100)+'Baca Dulu'!$B$18,MONTH(G100),DAY(G100)),IF(AND(C100="Positif 16/18",J100="Negatif"),DATE(YEAR(G100)+'Baca Dulu'!$B$19,MONTH(G100),DAY(G100)),IF(C100="Invalid","Ambil ulang","Ditentukan bidan"))))</f>
        <v>49964</v>
      </c>
    </row>
    <row r="101" customFormat="false" ht="15" hidden="false" customHeight="true" outlineLevel="0" collapsed="false">
      <c r="A101" s="19" t="str">
        <f aca="false">'5 Format Standar'!C101</f>
        <v>P-0099</v>
      </c>
      <c r="B101" s="19" t="str">
        <f aca="false">'5 Format Standar'!A101</f>
        <v>CerviScan</v>
      </c>
      <c r="C101" s="19" t="str">
        <f aca="false">'5 Format Standar'!M101</f>
        <v>Negatif</v>
      </c>
      <c r="D101" s="25" t="n">
        <f aca="false">'5 Format Standar'!O101</f>
        <v>46311</v>
      </c>
      <c r="E101" s="25"/>
      <c r="F101" s="19" t="str">
        <f aca="false">IF(ISNUMBER(E101),E101-D101,"")</f>
        <v/>
      </c>
      <c r="G101" s="25"/>
      <c r="H101" s="19" t="str">
        <f aca="false">IF(ISNUMBER(G101),G101-D101,"")</f>
        <v/>
      </c>
      <c r="I101" s="19" t="str">
        <f aca="false">IF(OR(C101="Positif 16/18",C101="Positif lain"),IF(AND(ISNUMBER(H101),H101&lt;='Baca Dulu'!$B$16),"Ya","Tidak"),"")</f>
        <v/>
      </c>
      <c r="J101" s="19"/>
      <c r="K101" s="19"/>
      <c r="L101" s="19"/>
      <c r="M101" s="25" t="n">
        <f aca="false">IF(C101="Negatif",DATE(YEAR(D101)+'Baca Dulu'!$B$17,MONTH(D101),DAY(D101)),IF(AND(C101="Positif lain",J101="Negatif"),DATE(YEAR(G101)+'Baca Dulu'!$B$18,MONTH(G101),DAY(G101)),IF(AND(C101="Positif 16/18",J101="Negatif"),DATE(YEAR(G101)+'Baca Dulu'!$B$19,MONTH(G101),DAY(G101)),IF(C101="Invalid","Ambil ulang","Ditentukan bidan"))))</f>
        <v>49964</v>
      </c>
    </row>
    <row r="102" customFormat="false" ht="15" hidden="false" customHeight="true" outlineLevel="0" collapsed="false">
      <c r="A102" s="19" t="str">
        <f aca="false">'5 Format Standar'!C102</f>
        <v>P-0100</v>
      </c>
      <c r="B102" s="19" t="str">
        <f aca="false">'5 Format Standar'!A102</f>
        <v>CerviScan</v>
      </c>
      <c r="C102" s="19" t="str">
        <f aca="false">'5 Format Standar'!M102</f>
        <v>Negatif</v>
      </c>
      <c r="D102" s="25" t="n">
        <f aca="false">'5 Format Standar'!O102</f>
        <v>46314</v>
      </c>
      <c r="E102" s="25"/>
      <c r="F102" s="19" t="str">
        <f aca="false">IF(ISNUMBER(E102),E102-D102,"")</f>
        <v/>
      </c>
      <c r="G102" s="25"/>
      <c r="H102" s="19" t="str">
        <f aca="false">IF(ISNUMBER(G102),G102-D102,"")</f>
        <v/>
      </c>
      <c r="I102" s="19" t="str">
        <f aca="false">IF(OR(C102="Positif 16/18",C102="Positif lain"),IF(AND(ISNUMBER(H102),H102&lt;='Baca Dulu'!$B$16),"Ya","Tidak"),"")</f>
        <v/>
      </c>
      <c r="J102" s="19"/>
      <c r="K102" s="19"/>
      <c r="L102" s="19"/>
      <c r="M102" s="25" t="n">
        <f aca="false">IF(C102="Negatif",DATE(YEAR(D102)+'Baca Dulu'!$B$17,MONTH(D102),DAY(D102)),IF(AND(C102="Positif lain",J102="Negatif"),DATE(YEAR(G102)+'Baca Dulu'!$B$18,MONTH(G102),DAY(G102)),IF(AND(C102="Positif 16/18",J102="Negatif"),DATE(YEAR(G102)+'Baca Dulu'!$B$19,MONTH(G102),DAY(G102)),IF(C102="Invalid","Ambil ulang","Ditentukan bidan"))))</f>
        <v>49967</v>
      </c>
    </row>
    <row r="103" customFormat="false" ht="15" hidden="false" customHeight="true" outlineLevel="0" collapsed="false">
      <c r="A103" s="19" t="str">
        <f aca="false">'5 Format Standar'!C103</f>
        <v>P-0101</v>
      </c>
      <c r="B103" s="19" t="str">
        <f aca="false">'5 Format Standar'!A103</f>
        <v>CerviScan</v>
      </c>
      <c r="C103" s="19" t="str">
        <f aca="false">'5 Format Standar'!M103</f>
        <v>Negatif</v>
      </c>
      <c r="D103" s="25" t="n">
        <f aca="false">'5 Format Standar'!O103</f>
        <v>46309</v>
      </c>
      <c r="E103" s="25"/>
      <c r="F103" s="19" t="str">
        <f aca="false">IF(ISNUMBER(E103),E103-D103,"")</f>
        <v/>
      </c>
      <c r="G103" s="25"/>
      <c r="H103" s="19" t="str">
        <f aca="false">IF(ISNUMBER(G103),G103-D103,"")</f>
        <v/>
      </c>
      <c r="I103" s="19" t="str">
        <f aca="false">IF(OR(C103="Positif 16/18",C103="Positif lain"),IF(AND(ISNUMBER(H103),H103&lt;='Baca Dulu'!$B$16),"Ya","Tidak"),"")</f>
        <v/>
      </c>
      <c r="J103" s="19"/>
      <c r="K103" s="19"/>
      <c r="L103" s="19"/>
      <c r="M103" s="25" t="n">
        <f aca="false">IF(C103="Negatif",DATE(YEAR(D103)+'Baca Dulu'!$B$17,MONTH(D103),DAY(D103)),IF(AND(C103="Positif lain",J103="Negatif"),DATE(YEAR(G103)+'Baca Dulu'!$B$18,MONTH(G103),DAY(G103)),IF(AND(C103="Positif 16/18",J103="Negatif"),DATE(YEAR(G103)+'Baca Dulu'!$B$19,MONTH(G103),DAY(G103)),IF(C103="Invalid","Ambil ulang","Ditentukan bidan"))))</f>
        <v>49962</v>
      </c>
    </row>
    <row r="104" customFormat="false" ht="15" hidden="false" customHeight="true" outlineLevel="0" collapsed="false">
      <c r="A104" s="19" t="str">
        <f aca="false">'5 Format Standar'!C104</f>
        <v>P-0102</v>
      </c>
      <c r="B104" s="19" t="str">
        <f aca="false">'5 Format Standar'!A104</f>
        <v>CerviScan</v>
      </c>
      <c r="C104" s="19" t="str">
        <f aca="false">'5 Format Standar'!M104</f>
        <v>Negatif</v>
      </c>
      <c r="D104" s="25" t="n">
        <f aca="false">'5 Format Standar'!O104</f>
        <v>46311</v>
      </c>
      <c r="E104" s="25"/>
      <c r="F104" s="19" t="str">
        <f aca="false">IF(ISNUMBER(E104),E104-D104,"")</f>
        <v/>
      </c>
      <c r="G104" s="25"/>
      <c r="H104" s="19" t="str">
        <f aca="false">IF(ISNUMBER(G104),G104-D104,"")</f>
        <v/>
      </c>
      <c r="I104" s="19" t="str">
        <f aca="false">IF(OR(C104="Positif 16/18",C104="Positif lain"),IF(AND(ISNUMBER(H104),H104&lt;='Baca Dulu'!$B$16),"Ya","Tidak"),"")</f>
        <v/>
      </c>
      <c r="J104" s="19"/>
      <c r="K104" s="19"/>
      <c r="L104" s="19"/>
      <c r="M104" s="25" t="n">
        <f aca="false">IF(C104="Negatif",DATE(YEAR(D104)+'Baca Dulu'!$B$17,MONTH(D104),DAY(D104)),IF(AND(C104="Positif lain",J104="Negatif"),DATE(YEAR(G104)+'Baca Dulu'!$B$18,MONTH(G104),DAY(G104)),IF(AND(C104="Positif 16/18",J104="Negatif"),DATE(YEAR(G104)+'Baca Dulu'!$B$19,MONTH(G104),DAY(G104)),IF(C104="Invalid","Ambil ulang","Ditentukan bidan"))))</f>
        <v>49964</v>
      </c>
    </row>
    <row r="105" customFormat="false" ht="15" hidden="false" customHeight="true" outlineLevel="0" collapsed="false">
      <c r="A105" s="19" t="str">
        <f aca="false">'5 Format Standar'!C105</f>
        <v>P-0103</v>
      </c>
      <c r="B105" s="19" t="str">
        <f aca="false">'5 Format Standar'!A105</f>
        <v>CerviScan</v>
      </c>
      <c r="C105" s="19" t="str">
        <f aca="false">'5 Format Standar'!M105</f>
        <v>Negatif</v>
      </c>
      <c r="D105" s="25" t="n">
        <f aca="false">'5 Format Standar'!O105</f>
        <v>46310</v>
      </c>
      <c r="E105" s="25"/>
      <c r="F105" s="19" t="str">
        <f aca="false">IF(ISNUMBER(E105),E105-D105,"")</f>
        <v/>
      </c>
      <c r="G105" s="25"/>
      <c r="H105" s="19" t="str">
        <f aca="false">IF(ISNUMBER(G105),G105-D105,"")</f>
        <v/>
      </c>
      <c r="I105" s="19" t="str">
        <f aca="false">IF(OR(C105="Positif 16/18",C105="Positif lain"),IF(AND(ISNUMBER(H105),H105&lt;='Baca Dulu'!$B$16),"Ya","Tidak"),"")</f>
        <v/>
      </c>
      <c r="J105" s="19"/>
      <c r="K105" s="19"/>
      <c r="L105" s="19"/>
      <c r="M105" s="25" t="n">
        <f aca="false">IF(C105="Negatif",DATE(YEAR(D105)+'Baca Dulu'!$B$17,MONTH(D105),DAY(D105)),IF(AND(C105="Positif lain",J105="Negatif"),DATE(YEAR(G105)+'Baca Dulu'!$B$18,MONTH(G105),DAY(G105)),IF(AND(C105="Positif 16/18",J105="Negatif"),DATE(YEAR(G105)+'Baca Dulu'!$B$19,MONTH(G105),DAY(G105)),IF(C105="Invalid","Ambil ulang","Ditentukan bidan"))))</f>
        <v>49963</v>
      </c>
    </row>
    <row r="106" customFormat="false" ht="15" hidden="false" customHeight="true" outlineLevel="0" collapsed="false">
      <c r="A106" s="19" t="str">
        <f aca="false">'5 Format Standar'!C106</f>
        <v>P-0104</v>
      </c>
      <c r="B106" s="19" t="str">
        <f aca="false">'5 Format Standar'!A106</f>
        <v>CerviScan</v>
      </c>
      <c r="C106" s="19" t="str">
        <f aca="false">'5 Format Standar'!M106</f>
        <v>Negatif</v>
      </c>
      <c r="D106" s="25" t="n">
        <f aca="false">'5 Format Standar'!O106</f>
        <v>46314</v>
      </c>
      <c r="E106" s="25"/>
      <c r="F106" s="19" t="str">
        <f aca="false">IF(ISNUMBER(E106),E106-D106,"")</f>
        <v/>
      </c>
      <c r="G106" s="25"/>
      <c r="H106" s="19" t="str">
        <f aca="false">IF(ISNUMBER(G106),G106-D106,"")</f>
        <v/>
      </c>
      <c r="I106" s="19" t="str">
        <f aca="false">IF(OR(C106="Positif 16/18",C106="Positif lain"),IF(AND(ISNUMBER(H106),H106&lt;='Baca Dulu'!$B$16),"Ya","Tidak"),"")</f>
        <v/>
      </c>
      <c r="J106" s="19"/>
      <c r="K106" s="19"/>
      <c r="L106" s="19"/>
      <c r="M106" s="25" t="n">
        <f aca="false">IF(C106="Negatif",DATE(YEAR(D106)+'Baca Dulu'!$B$17,MONTH(D106),DAY(D106)),IF(AND(C106="Positif lain",J106="Negatif"),DATE(YEAR(G106)+'Baca Dulu'!$B$18,MONTH(G106),DAY(G106)),IF(AND(C106="Positif 16/18",J106="Negatif"),DATE(YEAR(G106)+'Baca Dulu'!$B$19,MONTH(G106),DAY(G106)),IF(C106="Invalid","Ambil ulang","Ditentukan bidan"))))</f>
        <v>49967</v>
      </c>
    </row>
    <row r="107" customFormat="false" ht="15" hidden="false" customHeight="true" outlineLevel="0" collapsed="false">
      <c r="A107" s="19" t="str">
        <f aca="false">'5 Format Standar'!C107</f>
        <v>P-0105</v>
      </c>
      <c r="B107" s="19" t="str">
        <f aca="false">'5 Format Standar'!A107</f>
        <v>CerviScan</v>
      </c>
      <c r="C107" s="19" t="str">
        <f aca="false">'5 Format Standar'!M107</f>
        <v>Invalid</v>
      </c>
      <c r="D107" s="25" t="n">
        <f aca="false">'5 Format Standar'!O107</f>
        <v>46308</v>
      </c>
      <c r="E107" s="25"/>
      <c r="F107" s="19" t="str">
        <f aca="false">IF(ISNUMBER(E107),E107-D107,"")</f>
        <v/>
      </c>
      <c r="G107" s="25"/>
      <c r="H107" s="19" t="str">
        <f aca="false">IF(ISNUMBER(G107),G107-D107,"")</f>
        <v/>
      </c>
      <c r="I107" s="19" t="str">
        <f aca="false">IF(OR(C107="Positif 16/18",C107="Positif lain"),IF(AND(ISNUMBER(H107),H107&lt;='Baca Dulu'!$B$16),"Ya","Tidak"),"")</f>
        <v/>
      </c>
      <c r="J107" s="19"/>
      <c r="K107" s="19"/>
      <c r="L107" s="19"/>
      <c r="M107" s="25" t="str">
        <f aca="false">IF(C107="Negatif",DATE(YEAR(D107)+'Baca Dulu'!$B$17,MONTH(D107),DAY(D107)),IF(AND(C107="Positif lain",J107="Negatif"),DATE(YEAR(G107)+'Baca Dulu'!$B$18,MONTH(G107),DAY(G107)),IF(AND(C107="Positif 16/18",J107="Negatif"),DATE(YEAR(G107)+'Baca Dulu'!$B$19,MONTH(G107),DAY(G107)),IF(C107="Invalid","Ambil ulang","Ditentukan bidan"))))</f>
        <v>Ambil ulang</v>
      </c>
    </row>
    <row r="108" customFormat="false" ht="15" hidden="false" customHeight="true" outlineLevel="0" collapsed="false">
      <c r="A108" s="19" t="str">
        <f aca="false">'5 Format Standar'!C108</f>
        <v>P-0106</v>
      </c>
      <c r="B108" s="19" t="str">
        <f aca="false">'5 Format Standar'!A108</f>
        <v>CerviScan</v>
      </c>
      <c r="C108" s="19" t="str">
        <f aca="false">'5 Format Standar'!M108</f>
        <v>Positif lain</v>
      </c>
      <c r="D108" s="25" t="n">
        <f aca="false">'5 Format Standar'!O108</f>
        <v>46308</v>
      </c>
      <c r="E108" s="20" t="n">
        <f aca="false">D108+2</f>
        <v>46310</v>
      </c>
      <c r="F108" s="19" t="n">
        <f aca="false">IF(ISNUMBER(E108),E108-D108,"")</f>
        <v>2</v>
      </c>
      <c r="G108" s="20" t="n">
        <f aca="false">D108+28</f>
        <v>46336</v>
      </c>
      <c r="H108" s="19" t="n">
        <f aca="false">IF(ISNUMBER(G108),G108-D108,"")</f>
        <v>28</v>
      </c>
      <c r="I108" s="19" t="str">
        <f aca="false">IF(OR(C108="Positif 16/18",C108="Positif lain"),IF(AND(ISNUMBER(H108),H108&lt;='Baca Dulu'!$B$16),"Ya","Tidak"),"")</f>
        <v>Ya</v>
      </c>
      <c r="J108" s="17" t="s">
        <v>263</v>
      </c>
      <c r="K108" s="17" t="s">
        <v>779</v>
      </c>
      <c r="L108" s="17" t="s">
        <v>780</v>
      </c>
      <c r="M108" s="25" t="n">
        <f aca="false">IF(C108="Negatif",DATE(YEAR(D108)+'Baca Dulu'!$B$17,MONTH(D108),DAY(D108)),IF(AND(C108="Positif lain",J108="Negatif"),DATE(YEAR(G108)+'Baca Dulu'!$B$18,MONTH(G108),DAY(G108)),IF(AND(C108="Positif 16/18",J108="Negatif"),DATE(YEAR(G108)+'Baca Dulu'!$B$19,MONTH(G108),DAY(G108)),IF(C108="Invalid","Ambil ulang","Ditentukan bidan"))))</f>
        <v>47432</v>
      </c>
    </row>
    <row r="109" customFormat="false" ht="15" hidden="false" customHeight="true" outlineLevel="0" collapsed="false">
      <c r="A109" s="19" t="str">
        <f aca="false">'5 Format Standar'!C109</f>
        <v>P-0107</v>
      </c>
      <c r="B109" s="19" t="str">
        <f aca="false">'5 Format Standar'!A109</f>
        <v>CerviScan</v>
      </c>
      <c r="C109" s="19" t="str">
        <f aca="false">'5 Format Standar'!M109</f>
        <v>Negatif</v>
      </c>
      <c r="D109" s="25" t="n">
        <f aca="false">'5 Format Standar'!O109</f>
        <v>46307</v>
      </c>
      <c r="E109" s="25"/>
      <c r="F109" s="19" t="str">
        <f aca="false">IF(ISNUMBER(E109),E109-D109,"")</f>
        <v/>
      </c>
      <c r="G109" s="25"/>
      <c r="H109" s="19" t="str">
        <f aca="false">IF(ISNUMBER(G109),G109-D109,"")</f>
        <v/>
      </c>
      <c r="I109" s="19" t="str">
        <f aca="false">IF(OR(C109="Positif 16/18",C109="Positif lain"),IF(AND(ISNUMBER(H109),H109&lt;='Baca Dulu'!$B$16),"Ya","Tidak"),"")</f>
        <v/>
      </c>
      <c r="J109" s="19"/>
      <c r="K109" s="19"/>
      <c r="L109" s="19"/>
      <c r="M109" s="25" t="n">
        <f aca="false">IF(C109="Negatif",DATE(YEAR(D109)+'Baca Dulu'!$B$17,MONTH(D109),DAY(D109)),IF(AND(C109="Positif lain",J109="Negatif"),DATE(YEAR(G109)+'Baca Dulu'!$B$18,MONTH(G109),DAY(G109)),IF(AND(C109="Positif 16/18",J109="Negatif"),DATE(YEAR(G109)+'Baca Dulu'!$B$19,MONTH(G109),DAY(G109)),IF(C109="Invalid","Ambil ulang","Ditentukan bidan"))))</f>
        <v>49960</v>
      </c>
    </row>
    <row r="110" customFormat="false" ht="15" hidden="false" customHeight="true" outlineLevel="0" collapsed="false">
      <c r="A110" s="19" t="str">
        <f aca="false">'5 Format Standar'!C110</f>
        <v>P-0108</v>
      </c>
      <c r="B110" s="19" t="str">
        <f aca="false">'5 Format Standar'!A110</f>
        <v>CerviScan</v>
      </c>
      <c r="C110" s="19" t="str">
        <f aca="false">'5 Format Standar'!M110</f>
        <v>Negatif</v>
      </c>
      <c r="D110" s="25" t="n">
        <f aca="false">'5 Format Standar'!O110</f>
        <v>46312</v>
      </c>
      <c r="E110" s="25"/>
      <c r="F110" s="19" t="str">
        <f aca="false">IF(ISNUMBER(E110),E110-D110,"")</f>
        <v/>
      </c>
      <c r="G110" s="25"/>
      <c r="H110" s="19" t="str">
        <f aca="false">IF(ISNUMBER(G110),G110-D110,"")</f>
        <v/>
      </c>
      <c r="I110" s="19" t="str">
        <f aca="false">IF(OR(C110="Positif 16/18",C110="Positif lain"),IF(AND(ISNUMBER(H110),H110&lt;='Baca Dulu'!$B$16),"Ya","Tidak"),"")</f>
        <v/>
      </c>
      <c r="J110" s="19"/>
      <c r="K110" s="19"/>
      <c r="L110" s="19"/>
      <c r="M110" s="25" t="n">
        <f aca="false">IF(C110="Negatif",DATE(YEAR(D110)+'Baca Dulu'!$B$17,MONTH(D110),DAY(D110)),IF(AND(C110="Positif lain",J110="Negatif"),DATE(YEAR(G110)+'Baca Dulu'!$B$18,MONTH(G110),DAY(G110)),IF(AND(C110="Positif 16/18",J110="Negatif"),DATE(YEAR(G110)+'Baca Dulu'!$B$19,MONTH(G110),DAY(G110)),IF(C110="Invalid","Ambil ulang","Ditentukan bidan"))))</f>
        <v>49965</v>
      </c>
    </row>
    <row r="111" customFormat="false" ht="15" hidden="false" customHeight="true" outlineLevel="0" collapsed="false">
      <c r="A111" s="19" t="str">
        <f aca="false">'5 Format Standar'!C111</f>
        <v>P-0109</v>
      </c>
      <c r="B111" s="19" t="str">
        <f aca="false">'5 Format Standar'!A111</f>
        <v>CerviScan</v>
      </c>
      <c r="C111" s="19" t="str">
        <f aca="false">'5 Format Standar'!M111</f>
        <v>Negatif</v>
      </c>
      <c r="D111" s="25" t="n">
        <f aca="false">'5 Format Standar'!O111</f>
        <v>46303</v>
      </c>
      <c r="E111" s="25"/>
      <c r="F111" s="19" t="str">
        <f aca="false">IF(ISNUMBER(E111),E111-D111,"")</f>
        <v/>
      </c>
      <c r="G111" s="25"/>
      <c r="H111" s="19" t="str">
        <f aca="false">IF(ISNUMBER(G111),G111-D111,"")</f>
        <v/>
      </c>
      <c r="I111" s="19" t="str">
        <f aca="false">IF(OR(C111="Positif 16/18",C111="Positif lain"),IF(AND(ISNUMBER(H111),H111&lt;='Baca Dulu'!$B$16),"Ya","Tidak"),"")</f>
        <v/>
      </c>
      <c r="J111" s="19"/>
      <c r="K111" s="19"/>
      <c r="L111" s="19"/>
      <c r="M111" s="25" t="n">
        <f aca="false">IF(C111="Negatif",DATE(YEAR(D111)+'Baca Dulu'!$B$17,MONTH(D111),DAY(D111)),IF(AND(C111="Positif lain",J111="Negatif"),DATE(YEAR(G111)+'Baca Dulu'!$B$18,MONTH(G111),DAY(G111)),IF(AND(C111="Positif 16/18",J111="Negatif"),DATE(YEAR(G111)+'Baca Dulu'!$B$19,MONTH(G111),DAY(G111)),IF(C111="Invalid","Ambil ulang","Ditentukan bidan"))))</f>
        <v>49956</v>
      </c>
    </row>
    <row r="112" customFormat="false" ht="15" hidden="false" customHeight="true" outlineLevel="0" collapsed="false">
      <c r="A112" s="19" t="str">
        <f aca="false">'5 Format Standar'!C112</f>
        <v>P-0110</v>
      </c>
      <c r="B112" s="19" t="str">
        <f aca="false">'5 Format Standar'!A112</f>
        <v>CerviScan</v>
      </c>
      <c r="C112" s="19" t="str">
        <f aca="false">'5 Format Standar'!M112</f>
        <v>Negatif</v>
      </c>
      <c r="D112" s="25" t="n">
        <f aca="false">'5 Format Standar'!O112</f>
        <v>46313</v>
      </c>
      <c r="E112" s="25"/>
      <c r="F112" s="19" t="str">
        <f aca="false">IF(ISNUMBER(E112),E112-D112,"")</f>
        <v/>
      </c>
      <c r="G112" s="25"/>
      <c r="H112" s="19" t="str">
        <f aca="false">IF(ISNUMBER(G112),G112-D112,"")</f>
        <v/>
      </c>
      <c r="I112" s="19" t="str">
        <f aca="false">IF(OR(C112="Positif 16/18",C112="Positif lain"),IF(AND(ISNUMBER(H112),H112&lt;='Baca Dulu'!$B$16),"Ya","Tidak"),"")</f>
        <v/>
      </c>
      <c r="J112" s="19"/>
      <c r="K112" s="19"/>
      <c r="L112" s="19"/>
      <c r="M112" s="25" t="n">
        <f aca="false">IF(C112="Negatif",DATE(YEAR(D112)+'Baca Dulu'!$B$17,MONTH(D112),DAY(D112)),IF(AND(C112="Positif lain",J112="Negatif"),DATE(YEAR(G112)+'Baca Dulu'!$B$18,MONTH(G112),DAY(G112)),IF(AND(C112="Positif 16/18",J112="Negatif"),DATE(YEAR(G112)+'Baca Dulu'!$B$19,MONTH(G112),DAY(G112)),IF(C112="Invalid","Ambil ulang","Ditentukan bidan"))))</f>
        <v>49966</v>
      </c>
    </row>
    <row r="113" customFormat="false" ht="15" hidden="false" customHeight="true" outlineLevel="0" collapsed="false">
      <c r="A113" s="19" t="str">
        <f aca="false">'5 Format Standar'!C113</f>
        <v>P-0111</v>
      </c>
      <c r="B113" s="19" t="str">
        <f aca="false">'5 Format Standar'!A113</f>
        <v>CerviScan</v>
      </c>
      <c r="C113" s="19" t="str">
        <f aca="false">'5 Format Standar'!M113</f>
        <v>Negatif</v>
      </c>
      <c r="D113" s="25" t="n">
        <f aca="false">'5 Format Standar'!O113</f>
        <v>46306</v>
      </c>
      <c r="E113" s="25"/>
      <c r="F113" s="19" t="str">
        <f aca="false">IF(ISNUMBER(E113),E113-D113,"")</f>
        <v/>
      </c>
      <c r="G113" s="25"/>
      <c r="H113" s="19" t="str">
        <f aca="false">IF(ISNUMBER(G113),G113-D113,"")</f>
        <v/>
      </c>
      <c r="I113" s="19" t="str">
        <f aca="false">IF(OR(C113="Positif 16/18",C113="Positif lain"),IF(AND(ISNUMBER(H113),H113&lt;='Baca Dulu'!$B$16),"Ya","Tidak"),"")</f>
        <v/>
      </c>
      <c r="J113" s="19"/>
      <c r="K113" s="19"/>
      <c r="L113" s="19"/>
      <c r="M113" s="25" t="n">
        <f aca="false">IF(C113="Negatif",DATE(YEAR(D113)+'Baca Dulu'!$B$17,MONTH(D113),DAY(D113)),IF(AND(C113="Positif lain",J113="Negatif"),DATE(YEAR(G113)+'Baca Dulu'!$B$18,MONTH(G113),DAY(G113)),IF(AND(C113="Positif 16/18",J113="Negatif"),DATE(YEAR(G113)+'Baca Dulu'!$B$19,MONTH(G113),DAY(G113)),IF(C113="Invalid","Ambil ulang","Ditentukan bidan"))))</f>
        <v>49959</v>
      </c>
    </row>
    <row r="114" customFormat="false" ht="15" hidden="false" customHeight="true" outlineLevel="0" collapsed="false">
      <c r="A114" s="19" t="str">
        <f aca="false">'5 Format Standar'!C114</f>
        <v>P-0112</v>
      </c>
      <c r="B114" s="19" t="str">
        <f aca="false">'5 Format Standar'!A114</f>
        <v>CerviScan</v>
      </c>
      <c r="C114" s="19" t="str">
        <f aca="false">'5 Format Standar'!M114</f>
        <v>Negatif</v>
      </c>
      <c r="D114" s="25" t="n">
        <f aca="false">'5 Format Standar'!O114</f>
        <v>46304</v>
      </c>
      <c r="E114" s="25"/>
      <c r="F114" s="19" t="str">
        <f aca="false">IF(ISNUMBER(E114),E114-D114,"")</f>
        <v/>
      </c>
      <c r="G114" s="25"/>
      <c r="H114" s="19" t="str">
        <f aca="false">IF(ISNUMBER(G114),G114-D114,"")</f>
        <v/>
      </c>
      <c r="I114" s="19" t="str">
        <f aca="false">IF(OR(C114="Positif 16/18",C114="Positif lain"),IF(AND(ISNUMBER(H114),H114&lt;='Baca Dulu'!$B$16),"Ya","Tidak"),"")</f>
        <v/>
      </c>
      <c r="J114" s="19"/>
      <c r="K114" s="19"/>
      <c r="L114" s="19"/>
      <c r="M114" s="25" t="n">
        <f aca="false">IF(C114="Negatif",DATE(YEAR(D114)+'Baca Dulu'!$B$17,MONTH(D114),DAY(D114)),IF(AND(C114="Positif lain",J114="Negatif"),DATE(YEAR(G114)+'Baca Dulu'!$B$18,MONTH(G114),DAY(G114)),IF(AND(C114="Positif 16/18",J114="Negatif"),DATE(YEAR(G114)+'Baca Dulu'!$B$19,MONTH(G114),DAY(G114)),IF(C114="Invalid","Ambil ulang","Ditentukan bidan"))))</f>
        <v>49957</v>
      </c>
    </row>
    <row r="115" customFormat="false" ht="15" hidden="false" customHeight="true" outlineLevel="0" collapsed="false">
      <c r="A115" s="19" t="str">
        <f aca="false">'5 Format Standar'!C115</f>
        <v>P-0113</v>
      </c>
      <c r="B115" s="19" t="str">
        <f aca="false">'5 Format Standar'!A115</f>
        <v>CerviScan</v>
      </c>
      <c r="C115" s="19" t="str">
        <f aca="false">'5 Format Standar'!M115</f>
        <v>Negatif</v>
      </c>
      <c r="D115" s="25" t="n">
        <f aca="false">'5 Format Standar'!O115</f>
        <v>46307</v>
      </c>
      <c r="E115" s="25"/>
      <c r="F115" s="19" t="str">
        <f aca="false">IF(ISNUMBER(E115),E115-D115,"")</f>
        <v/>
      </c>
      <c r="G115" s="25"/>
      <c r="H115" s="19" t="str">
        <f aca="false">IF(ISNUMBER(G115),G115-D115,"")</f>
        <v/>
      </c>
      <c r="I115" s="19" t="str">
        <f aca="false">IF(OR(C115="Positif 16/18",C115="Positif lain"),IF(AND(ISNUMBER(H115),H115&lt;='Baca Dulu'!$B$16),"Ya","Tidak"),"")</f>
        <v/>
      </c>
      <c r="J115" s="19"/>
      <c r="K115" s="19"/>
      <c r="L115" s="19"/>
      <c r="M115" s="25" t="n">
        <f aca="false">IF(C115="Negatif",DATE(YEAR(D115)+'Baca Dulu'!$B$17,MONTH(D115),DAY(D115)),IF(AND(C115="Positif lain",J115="Negatif"),DATE(YEAR(G115)+'Baca Dulu'!$B$18,MONTH(G115),DAY(G115)),IF(AND(C115="Positif 16/18",J115="Negatif"),DATE(YEAR(G115)+'Baca Dulu'!$B$19,MONTH(G115),DAY(G115)),IF(C115="Invalid","Ambil ulang","Ditentukan bidan"))))</f>
        <v>49960</v>
      </c>
    </row>
    <row r="116" customFormat="false" ht="15" hidden="false" customHeight="true" outlineLevel="0" collapsed="false">
      <c r="A116" s="19" t="str">
        <f aca="false">'5 Format Standar'!C116</f>
        <v>P-0114</v>
      </c>
      <c r="B116" s="19" t="str">
        <f aca="false">'5 Format Standar'!A116</f>
        <v>CerviScan</v>
      </c>
      <c r="C116" s="19" t="str">
        <f aca="false">'5 Format Standar'!M116</f>
        <v>Negatif</v>
      </c>
      <c r="D116" s="25" t="n">
        <f aca="false">'5 Format Standar'!O116</f>
        <v>46307</v>
      </c>
      <c r="E116" s="25"/>
      <c r="F116" s="19" t="str">
        <f aca="false">IF(ISNUMBER(E116),E116-D116,"")</f>
        <v/>
      </c>
      <c r="G116" s="25"/>
      <c r="H116" s="19" t="str">
        <f aca="false">IF(ISNUMBER(G116),G116-D116,"")</f>
        <v/>
      </c>
      <c r="I116" s="19" t="str">
        <f aca="false">IF(OR(C116="Positif 16/18",C116="Positif lain"),IF(AND(ISNUMBER(H116),H116&lt;='Baca Dulu'!$B$16),"Ya","Tidak"),"")</f>
        <v/>
      </c>
      <c r="J116" s="19"/>
      <c r="K116" s="19"/>
      <c r="L116" s="19"/>
      <c r="M116" s="25" t="n">
        <f aca="false">IF(C116="Negatif",DATE(YEAR(D116)+'Baca Dulu'!$B$17,MONTH(D116),DAY(D116)),IF(AND(C116="Positif lain",J116="Negatif"),DATE(YEAR(G116)+'Baca Dulu'!$B$18,MONTH(G116),DAY(G116)),IF(AND(C116="Positif 16/18",J116="Negatif"),DATE(YEAR(G116)+'Baca Dulu'!$B$19,MONTH(G116),DAY(G116)),IF(C116="Invalid","Ambil ulang","Ditentukan bidan"))))</f>
        <v>49960</v>
      </c>
    </row>
    <row r="117" customFormat="false" ht="15" hidden="false" customHeight="true" outlineLevel="0" collapsed="false">
      <c r="A117" s="19" t="str">
        <f aca="false">'5 Format Standar'!C117</f>
        <v>P-0115</v>
      </c>
      <c r="B117" s="19" t="str">
        <f aca="false">'5 Format Standar'!A117</f>
        <v>CerviScan</v>
      </c>
      <c r="C117" s="19" t="str">
        <f aca="false">'5 Format Standar'!M117</f>
        <v>Positif lain</v>
      </c>
      <c r="D117" s="25" t="n">
        <f aca="false">'5 Format Standar'!O117</f>
        <v>46309</v>
      </c>
      <c r="E117" s="20" t="n">
        <f aca="false">D117+3</f>
        <v>46312</v>
      </c>
      <c r="F117" s="19" t="n">
        <f aca="false">IF(ISNUMBER(E117),E117-D117,"")</f>
        <v>3</v>
      </c>
      <c r="G117" s="20"/>
      <c r="H117" s="19" t="str">
        <f aca="false">IF(ISNUMBER(G117),G117-D117,"")</f>
        <v/>
      </c>
      <c r="I117" s="19" t="str">
        <f aca="false">IF(OR(C117="Positif 16/18",C117="Positif lain"),IF(AND(ISNUMBER(H117),H117&lt;='Baca Dulu'!$B$16),"Ya","Tidak"),"")</f>
        <v>Tidak</v>
      </c>
      <c r="J117" s="17"/>
      <c r="K117" s="17"/>
      <c r="L117" s="17"/>
      <c r="M117" s="25" t="str">
        <f aca="false">IF(C117="Negatif",DATE(YEAR(D117)+'Baca Dulu'!$B$17,MONTH(D117),DAY(D117)),IF(AND(C117="Positif lain",J117="Negatif"),DATE(YEAR(G117)+'Baca Dulu'!$B$18,MONTH(G117),DAY(G117)),IF(AND(C117="Positif 16/18",J117="Negatif"),DATE(YEAR(G117)+'Baca Dulu'!$B$19,MONTH(G117),DAY(G117)),IF(C117="Invalid","Ambil ulang","Ditentukan bidan"))))</f>
        <v>Ditentukan bidan</v>
      </c>
    </row>
    <row r="118" customFormat="false" ht="15" hidden="false" customHeight="true" outlineLevel="0" collapsed="false">
      <c r="A118" s="19" t="str">
        <f aca="false">'5 Format Standar'!C118</f>
        <v>P-0116</v>
      </c>
      <c r="B118" s="19" t="str">
        <f aca="false">'5 Format Standar'!A118</f>
        <v>CerviScan</v>
      </c>
      <c r="C118" s="19" t="str">
        <f aca="false">'5 Format Standar'!M118</f>
        <v>Negatif</v>
      </c>
      <c r="D118" s="25" t="n">
        <f aca="false">'5 Format Standar'!O118</f>
        <v>46310</v>
      </c>
      <c r="E118" s="25"/>
      <c r="F118" s="19" t="str">
        <f aca="false">IF(ISNUMBER(E118),E118-D118,"")</f>
        <v/>
      </c>
      <c r="G118" s="25"/>
      <c r="H118" s="19" t="str">
        <f aca="false">IF(ISNUMBER(G118),G118-D118,"")</f>
        <v/>
      </c>
      <c r="I118" s="19" t="str">
        <f aca="false">IF(OR(C118="Positif 16/18",C118="Positif lain"),IF(AND(ISNUMBER(H118),H118&lt;='Baca Dulu'!$B$16),"Ya","Tidak"),"")</f>
        <v/>
      </c>
      <c r="J118" s="19"/>
      <c r="K118" s="19"/>
      <c r="L118" s="19"/>
      <c r="M118" s="25" t="n">
        <f aca="false">IF(C118="Negatif",DATE(YEAR(D118)+'Baca Dulu'!$B$17,MONTH(D118),DAY(D118)),IF(AND(C118="Positif lain",J118="Negatif"),DATE(YEAR(G118)+'Baca Dulu'!$B$18,MONTH(G118),DAY(G118)),IF(AND(C118="Positif 16/18",J118="Negatif"),DATE(YEAR(G118)+'Baca Dulu'!$B$19,MONTH(G118),DAY(G118)),IF(C118="Invalid","Ambil ulang","Ditentukan bidan"))))</f>
        <v>49963</v>
      </c>
    </row>
    <row r="119" customFormat="false" ht="15" hidden="false" customHeight="true" outlineLevel="0" collapsed="false">
      <c r="A119" s="19" t="str">
        <f aca="false">'5 Format Standar'!C119</f>
        <v>P-0117</v>
      </c>
      <c r="B119" s="19" t="str">
        <f aca="false">'5 Format Standar'!A119</f>
        <v>CerviScan</v>
      </c>
      <c r="C119" s="19" t="str">
        <f aca="false">'5 Format Standar'!M119</f>
        <v>Positif 16/18</v>
      </c>
      <c r="D119" s="25" t="n">
        <f aca="false">'5 Format Standar'!O119</f>
        <v>46312</v>
      </c>
      <c r="E119" s="20" t="n">
        <f aca="false">D119+2</f>
        <v>46314</v>
      </c>
      <c r="F119" s="19" t="n">
        <f aca="false">IF(ISNUMBER(E119),E119-D119,"")</f>
        <v>2</v>
      </c>
      <c r="G119" s="20" t="n">
        <f aca="false">D119+47</f>
        <v>46359</v>
      </c>
      <c r="H119" s="19" t="n">
        <f aca="false">IF(ISNUMBER(G119),G119-D119,"")</f>
        <v>47</v>
      </c>
      <c r="I119" s="19" t="str">
        <f aca="false">IF(OR(C119="Positif 16/18",C119="Positif lain"),IF(AND(ISNUMBER(H119),H119&lt;='Baca Dulu'!$B$16),"Ya","Tidak"),"")</f>
        <v>Ya</v>
      </c>
      <c r="J119" s="17" t="s">
        <v>263</v>
      </c>
      <c r="K119" s="17" t="s">
        <v>779</v>
      </c>
      <c r="L119" s="17" t="s">
        <v>780</v>
      </c>
      <c r="M119" s="25" t="n">
        <f aca="false">IF(C119="Negatif",DATE(YEAR(D119)+'Baca Dulu'!$B$17,MONTH(D119),DAY(D119)),IF(AND(C119="Positif lain",J119="Negatif"),DATE(YEAR(G119)+'Baca Dulu'!$B$18,MONTH(G119),DAY(G119)),IF(AND(C119="Positif 16/18",J119="Negatif"),DATE(YEAR(G119)+'Baca Dulu'!$B$19,MONTH(G119),DAY(G119)),IF(C119="Invalid","Ambil ulang","Ditentukan bidan"))))</f>
        <v>46724</v>
      </c>
    </row>
    <row r="120" customFormat="false" ht="15" hidden="false" customHeight="true" outlineLevel="0" collapsed="false">
      <c r="A120" s="19" t="str">
        <f aca="false">'5 Format Standar'!C120</f>
        <v>P-0118</v>
      </c>
      <c r="B120" s="19" t="str">
        <f aca="false">'5 Format Standar'!A120</f>
        <v>CerviScan</v>
      </c>
      <c r="C120" s="19" t="str">
        <f aca="false">'5 Format Standar'!M120</f>
        <v>Negatif</v>
      </c>
      <c r="D120" s="25" t="n">
        <f aca="false">'5 Format Standar'!O120</f>
        <v>46309</v>
      </c>
      <c r="E120" s="25"/>
      <c r="F120" s="19" t="str">
        <f aca="false">IF(ISNUMBER(E120),E120-D120,"")</f>
        <v/>
      </c>
      <c r="G120" s="25"/>
      <c r="H120" s="19" t="str">
        <f aca="false">IF(ISNUMBER(G120),G120-D120,"")</f>
        <v/>
      </c>
      <c r="I120" s="19" t="str">
        <f aca="false">IF(OR(C120="Positif 16/18",C120="Positif lain"),IF(AND(ISNUMBER(H120),H120&lt;='Baca Dulu'!$B$16),"Ya","Tidak"),"")</f>
        <v/>
      </c>
      <c r="J120" s="19"/>
      <c r="K120" s="19"/>
      <c r="L120" s="19"/>
      <c r="M120" s="25" t="n">
        <f aca="false">IF(C120="Negatif",DATE(YEAR(D120)+'Baca Dulu'!$B$17,MONTH(D120),DAY(D120)),IF(AND(C120="Positif lain",J120="Negatif"),DATE(YEAR(G120)+'Baca Dulu'!$B$18,MONTH(G120),DAY(G120)),IF(AND(C120="Positif 16/18",J120="Negatif"),DATE(YEAR(G120)+'Baca Dulu'!$B$19,MONTH(G120),DAY(G120)),IF(C120="Invalid","Ambil ulang","Ditentukan bidan"))))</f>
        <v>49962</v>
      </c>
    </row>
    <row r="121" customFormat="false" ht="15" hidden="false" customHeight="true" outlineLevel="0" collapsed="false">
      <c r="A121" s="19" t="str">
        <f aca="false">'5 Format Standar'!C121</f>
        <v>P-0119</v>
      </c>
      <c r="B121" s="19" t="str">
        <f aca="false">'5 Format Standar'!A121</f>
        <v>CerviScan</v>
      </c>
      <c r="C121" s="19" t="str">
        <f aca="false">'5 Format Standar'!M121</f>
        <v>Negatif</v>
      </c>
      <c r="D121" s="25" t="n">
        <f aca="false">'5 Format Standar'!O121</f>
        <v>46314</v>
      </c>
      <c r="E121" s="25"/>
      <c r="F121" s="19" t="str">
        <f aca="false">IF(ISNUMBER(E121),E121-D121,"")</f>
        <v/>
      </c>
      <c r="G121" s="25"/>
      <c r="H121" s="19" t="str">
        <f aca="false">IF(ISNUMBER(G121),G121-D121,"")</f>
        <v/>
      </c>
      <c r="I121" s="19" t="str">
        <f aca="false">IF(OR(C121="Positif 16/18",C121="Positif lain"),IF(AND(ISNUMBER(H121),H121&lt;='Baca Dulu'!$B$16),"Ya","Tidak"),"")</f>
        <v/>
      </c>
      <c r="J121" s="19"/>
      <c r="K121" s="19"/>
      <c r="L121" s="19"/>
      <c r="M121" s="25" t="n">
        <f aca="false">IF(C121="Negatif",DATE(YEAR(D121)+'Baca Dulu'!$B$17,MONTH(D121),DAY(D121)),IF(AND(C121="Positif lain",J121="Negatif"),DATE(YEAR(G121)+'Baca Dulu'!$B$18,MONTH(G121),DAY(G121)),IF(AND(C121="Positif 16/18",J121="Negatif"),DATE(YEAR(G121)+'Baca Dulu'!$B$19,MONTH(G121),DAY(G121)),IF(C121="Invalid","Ambil ulang","Ditentukan bidan"))))</f>
        <v>49967</v>
      </c>
    </row>
    <row r="122" customFormat="false" ht="15" hidden="false" customHeight="true" outlineLevel="0" collapsed="false">
      <c r="A122" s="19" t="str">
        <f aca="false">'5 Format Standar'!C122</f>
        <v>P-0120</v>
      </c>
      <c r="B122" s="19" t="str">
        <f aca="false">'5 Format Standar'!A122</f>
        <v>CerviScan</v>
      </c>
      <c r="C122" s="19" t="str">
        <f aca="false">'5 Format Standar'!M122</f>
        <v>Negatif</v>
      </c>
      <c r="D122" s="25" t="n">
        <f aca="false">'5 Format Standar'!O122</f>
        <v>46314</v>
      </c>
      <c r="E122" s="25"/>
      <c r="F122" s="19" t="str">
        <f aca="false">IF(ISNUMBER(E122),E122-D122,"")</f>
        <v/>
      </c>
      <c r="G122" s="25"/>
      <c r="H122" s="19" t="str">
        <f aca="false">IF(ISNUMBER(G122),G122-D122,"")</f>
        <v/>
      </c>
      <c r="I122" s="19" t="str">
        <f aca="false">IF(OR(C122="Positif 16/18",C122="Positif lain"),IF(AND(ISNUMBER(H122),H122&lt;='Baca Dulu'!$B$16),"Ya","Tidak"),"")</f>
        <v/>
      </c>
      <c r="J122" s="19"/>
      <c r="K122" s="19"/>
      <c r="L122" s="19"/>
      <c r="M122" s="25" t="n">
        <f aca="false">IF(C122="Negatif",DATE(YEAR(D122)+'Baca Dulu'!$B$17,MONTH(D122),DAY(D122)),IF(AND(C122="Positif lain",J122="Negatif"),DATE(YEAR(G122)+'Baca Dulu'!$B$18,MONTH(G122),DAY(G122)),IF(AND(C122="Positif 16/18",J122="Negatif"),DATE(YEAR(G122)+'Baca Dulu'!$B$19,MONTH(G122),DAY(G122)),IF(C122="Invalid","Ambil ulang","Ditentukan bidan"))))</f>
        <v>49967</v>
      </c>
    </row>
    <row r="123" customFormat="false" ht="15" hidden="false" customHeight="true" outlineLevel="0" collapsed="false">
      <c r="A123" s="19" t="str">
        <f aca="false">'5 Format Standar'!C123</f>
        <v>P-0121</v>
      </c>
      <c r="B123" s="19" t="str">
        <f aca="false">'5 Format Standar'!A123</f>
        <v>cobas</v>
      </c>
      <c r="C123" s="19" t="str">
        <f aca="false">'5 Format Standar'!M123</f>
        <v>Negatif</v>
      </c>
      <c r="D123" s="25" t="n">
        <f aca="false">'5 Format Standar'!O123</f>
        <v>46313</v>
      </c>
      <c r="E123" s="25"/>
      <c r="F123" s="19" t="str">
        <f aca="false">IF(ISNUMBER(E123),E123-D123,"")</f>
        <v/>
      </c>
      <c r="G123" s="25"/>
      <c r="H123" s="19" t="str">
        <f aca="false">IF(ISNUMBER(G123),G123-D123,"")</f>
        <v/>
      </c>
      <c r="I123" s="19" t="str">
        <f aca="false">IF(OR(C123="Positif 16/18",C123="Positif lain"),IF(AND(ISNUMBER(H123),H123&lt;='Baca Dulu'!$B$16),"Ya","Tidak"),"")</f>
        <v/>
      </c>
      <c r="J123" s="19"/>
      <c r="K123" s="19"/>
      <c r="L123" s="19"/>
      <c r="M123" s="25" t="n">
        <f aca="false">IF(C123="Negatif",DATE(YEAR(D123)+'Baca Dulu'!$B$17,MONTH(D123),DAY(D123)),IF(AND(C123="Positif lain",J123="Negatif"),DATE(YEAR(G123)+'Baca Dulu'!$B$18,MONTH(G123),DAY(G123)),IF(AND(C123="Positif 16/18",J123="Negatif"),DATE(YEAR(G123)+'Baca Dulu'!$B$19,MONTH(G123),DAY(G123)),IF(C123="Invalid","Ambil ulang","Ditentukan bidan"))))</f>
        <v>49966</v>
      </c>
    </row>
    <row r="124" customFormat="false" ht="15" hidden="false" customHeight="true" outlineLevel="0" collapsed="false">
      <c r="A124" s="19" t="str">
        <f aca="false">'5 Format Standar'!C124</f>
        <v>P-0122</v>
      </c>
      <c r="B124" s="19" t="str">
        <f aca="false">'5 Format Standar'!A124</f>
        <v>cobas</v>
      </c>
      <c r="C124" s="19" t="str">
        <f aca="false">'5 Format Standar'!M124</f>
        <v>Negatif</v>
      </c>
      <c r="D124" s="25" t="n">
        <f aca="false">'5 Format Standar'!O124</f>
        <v>46306</v>
      </c>
      <c r="E124" s="25"/>
      <c r="F124" s="19" t="str">
        <f aca="false">IF(ISNUMBER(E124),E124-D124,"")</f>
        <v/>
      </c>
      <c r="G124" s="25"/>
      <c r="H124" s="19" t="str">
        <f aca="false">IF(ISNUMBER(G124),G124-D124,"")</f>
        <v/>
      </c>
      <c r="I124" s="19" t="str">
        <f aca="false">IF(OR(C124="Positif 16/18",C124="Positif lain"),IF(AND(ISNUMBER(H124),H124&lt;='Baca Dulu'!$B$16),"Ya","Tidak"),"")</f>
        <v/>
      </c>
      <c r="J124" s="19"/>
      <c r="K124" s="19"/>
      <c r="L124" s="19"/>
      <c r="M124" s="25" t="n">
        <f aca="false">IF(C124="Negatif",DATE(YEAR(D124)+'Baca Dulu'!$B$17,MONTH(D124),DAY(D124)),IF(AND(C124="Positif lain",J124="Negatif"),DATE(YEAR(G124)+'Baca Dulu'!$B$18,MONTH(G124),DAY(G124)),IF(AND(C124="Positif 16/18",J124="Negatif"),DATE(YEAR(G124)+'Baca Dulu'!$B$19,MONTH(G124),DAY(G124)),IF(C124="Invalid","Ambil ulang","Ditentukan bidan"))))</f>
        <v>49959</v>
      </c>
    </row>
    <row r="125" customFormat="false" ht="15" hidden="false" customHeight="true" outlineLevel="0" collapsed="false">
      <c r="A125" s="19" t="str">
        <f aca="false">'5 Format Standar'!C125</f>
        <v>P-0123</v>
      </c>
      <c r="B125" s="19" t="str">
        <f aca="false">'5 Format Standar'!A125</f>
        <v>cobas</v>
      </c>
      <c r="C125" s="19" t="str">
        <f aca="false">'5 Format Standar'!M125</f>
        <v>Negatif</v>
      </c>
      <c r="D125" s="25" t="n">
        <f aca="false">'5 Format Standar'!O125</f>
        <v>46305</v>
      </c>
      <c r="E125" s="25"/>
      <c r="F125" s="19" t="str">
        <f aca="false">IF(ISNUMBER(E125),E125-D125,"")</f>
        <v/>
      </c>
      <c r="G125" s="25"/>
      <c r="H125" s="19" t="str">
        <f aca="false">IF(ISNUMBER(G125),G125-D125,"")</f>
        <v/>
      </c>
      <c r="I125" s="19" t="str">
        <f aca="false">IF(OR(C125="Positif 16/18",C125="Positif lain"),IF(AND(ISNUMBER(H125),H125&lt;='Baca Dulu'!$B$16),"Ya","Tidak"),"")</f>
        <v/>
      </c>
      <c r="J125" s="19"/>
      <c r="K125" s="19"/>
      <c r="L125" s="19"/>
      <c r="M125" s="25" t="n">
        <f aca="false">IF(C125="Negatif",DATE(YEAR(D125)+'Baca Dulu'!$B$17,MONTH(D125),DAY(D125)),IF(AND(C125="Positif lain",J125="Negatif"),DATE(YEAR(G125)+'Baca Dulu'!$B$18,MONTH(G125),DAY(G125)),IF(AND(C125="Positif 16/18",J125="Negatif"),DATE(YEAR(G125)+'Baca Dulu'!$B$19,MONTH(G125),DAY(G125)),IF(C125="Invalid","Ambil ulang","Ditentukan bidan"))))</f>
        <v>49958</v>
      </c>
    </row>
    <row r="126" customFormat="false" ht="15" hidden="false" customHeight="true" outlineLevel="0" collapsed="false">
      <c r="A126" s="19" t="str">
        <f aca="false">'5 Format Standar'!C126</f>
        <v>P-0124</v>
      </c>
      <c r="B126" s="19" t="str">
        <f aca="false">'5 Format Standar'!A126</f>
        <v>cobas</v>
      </c>
      <c r="C126" s="19" t="str">
        <f aca="false">'5 Format Standar'!M126</f>
        <v>Positif 16/18</v>
      </c>
      <c r="D126" s="25" t="n">
        <f aca="false">'5 Format Standar'!O126</f>
        <v>46304</v>
      </c>
      <c r="E126" s="20" t="n">
        <f aca="false">D126+1</f>
        <v>46305</v>
      </c>
      <c r="F126" s="19" t="n">
        <f aca="false">IF(ISNUMBER(E126),E126-D126,"")</f>
        <v>1</v>
      </c>
      <c r="G126" s="20" t="n">
        <f aca="false">D126+12</f>
        <v>46316</v>
      </c>
      <c r="H126" s="19" t="n">
        <f aca="false">IF(ISNUMBER(G126),G126-D126,"")</f>
        <v>12</v>
      </c>
      <c r="I126" s="19" t="str">
        <f aca="false">IF(OR(C126="Positif 16/18",C126="Positif lain"),IF(AND(ISNUMBER(H126),H126&lt;='Baca Dulu'!$B$16),"Ya","Tidak"),"")</f>
        <v>Ya</v>
      </c>
      <c r="J126" s="17" t="s">
        <v>263</v>
      </c>
      <c r="K126" s="17" t="s">
        <v>779</v>
      </c>
      <c r="L126" s="17" t="s">
        <v>780</v>
      </c>
      <c r="M126" s="25" t="n">
        <f aca="false">IF(C126="Negatif",DATE(YEAR(D126)+'Baca Dulu'!$B$17,MONTH(D126),DAY(D126)),IF(AND(C126="Positif lain",J126="Negatif"),DATE(YEAR(G126)+'Baca Dulu'!$B$18,MONTH(G126),DAY(G126)),IF(AND(C126="Positif 16/18",J126="Negatif"),DATE(YEAR(G126)+'Baca Dulu'!$B$19,MONTH(G126),DAY(G126)),IF(C126="Invalid","Ambil ulang","Ditentukan bidan"))))</f>
        <v>46681</v>
      </c>
    </row>
    <row r="127" customFormat="false" ht="15" hidden="false" customHeight="true" outlineLevel="0" collapsed="false">
      <c r="A127" s="19" t="str">
        <f aca="false">'5 Format Standar'!C127</f>
        <v>P-0125</v>
      </c>
      <c r="B127" s="19" t="str">
        <f aca="false">'5 Format Standar'!A127</f>
        <v>cobas</v>
      </c>
      <c r="C127" s="19" t="str">
        <f aca="false">'5 Format Standar'!M127</f>
        <v>Negatif</v>
      </c>
      <c r="D127" s="25" t="n">
        <f aca="false">'5 Format Standar'!O127</f>
        <v>46306</v>
      </c>
      <c r="E127" s="25"/>
      <c r="F127" s="19" t="str">
        <f aca="false">IF(ISNUMBER(E127),E127-D127,"")</f>
        <v/>
      </c>
      <c r="G127" s="25"/>
      <c r="H127" s="19" t="str">
        <f aca="false">IF(ISNUMBER(G127),G127-D127,"")</f>
        <v/>
      </c>
      <c r="I127" s="19" t="str">
        <f aca="false">IF(OR(C127="Positif 16/18",C127="Positif lain"),IF(AND(ISNUMBER(H127),H127&lt;='Baca Dulu'!$B$16),"Ya","Tidak"),"")</f>
        <v/>
      </c>
      <c r="J127" s="19"/>
      <c r="K127" s="19"/>
      <c r="L127" s="19"/>
      <c r="M127" s="25" t="n">
        <f aca="false">IF(C127="Negatif",DATE(YEAR(D127)+'Baca Dulu'!$B$17,MONTH(D127),DAY(D127)),IF(AND(C127="Positif lain",J127="Negatif"),DATE(YEAR(G127)+'Baca Dulu'!$B$18,MONTH(G127),DAY(G127)),IF(AND(C127="Positif 16/18",J127="Negatif"),DATE(YEAR(G127)+'Baca Dulu'!$B$19,MONTH(G127),DAY(G127)),IF(C127="Invalid","Ambil ulang","Ditentukan bidan"))))</f>
        <v>49959</v>
      </c>
    </row>
    <row r="128" customFormat="false" ht="15" hidden="false" customHeight="true" outlineLevel="0" collapsed="false">
      <c r="A128" s="19" t="str">
        <f aca="false">'5 Format Standar'!C128</f>
        <v>P-0126</v>
      </c>
      <c r="B128" s="19" t="str">
        <f aca="false">'5 Format Standar'!A128</f>
        <v>cobas</v>
      </c>
      <c r="C128" s="19" t="str">
        <f aca="false">'5 Format Standar'!M128</f>
        <v>Negatif</v>
      </c>
      <c r="D128" s="25" t="n">
        <f aca="false">'5 Format Standar'!O128</f>
        <v>46304</v>
      </c>
      <c r="E128" s="25"/>
      <c r="F128" s="19" t="str">
        <f aca="false">IF(ISNUMBER(E128),E128-D128,"")</f>
        <v/>
      </c>
      <c r="G128" s="25"/>
      <c r="H128" s="19" t="str">
        <f aca="false">IF(ISNUMBER(G128),G128-D128,"")</f>
        <v/>
      </c>
      <c r="I128" s="19" t="str">
        <f aca="false">IF(OR(C128="Positif 16/18",C128="Positif lain"),IF(AND(ISNUMBER(H128),H128&lt;='Baca Dulu'!$B$16),"Ya","Tidak"),"")</f>
        <v/>
      </c>
      <c r="J128" s="19"/>
      <c r="K128" s="19"/>
      <c r="L128" s="19"/>
      <c r="M128" s="25" t="n">
        <f aca="false">IF(C128="Negatif",DATE(YEAR(D128)+'Baca Dulu'!$B$17,MONTH(D128),DAY(D128)),IF(AND(C128="Positif lain",J128="Negatif"),DATE(YEAR(G128)+'Baca Dulu'!$B$18,MONTH(G128),DAY(G128)),IF(AND(C128="Positif 16/18",J128="Negatif"),DATE(YEAR(G128)+'Baca Dulu'!$B$19,MONTH(G128),DAY(G128)),IF(C128="Invalid","Ambil ulang","Ditentukan bidan"))))</f>
        <v>49957</v>
      </c>
    </row>
    <row r="129" customFormat="false" ht="15" hidden="false" customHeight="true" outlineLevel="0" collapsed="false">
      <c r="A129" s="19" t="str">
        <f aca="false">'5 Format Standar'!C129</f>
        <v>P-0127</v>
      </c>
      <c r="B129" s="19" t="str">
        <f aca="false">'5 Format Standar'!A129</f>
        <v>cobas</v>
      </c>
      <c r="C129" s="19" t="str">
        <f aca="false">'5 Format Standar'!M129</f>
        <v>Negatif</v>
      </c>
      <c r="D129" s="25" t="n">
        <f aca="false">'5 Format Standar'!O129</f>
        <v>46313</v>
      </c>
      <c r="E129" s="25"/>
      <c r="F129" s="19" t="str">
        <f aca="false">IF(ISNUMBER(E129),E129-D129,"")</f>
        <v/>
      </c>
      <c r="G129" s="25"/>
      <c r="H129" s="19" t="str">
        <f aca="false">IF(ISNUMBER(G129),G129-D129,"")</f>
        <v/>
      </c>
      <c r="I129" s="19" t="str">
        <f aca="false">IF(OR(C129="Positif 16/18",C129="Positif lain"),IF(AND(ISNUMBER(H129),H129&lt;='Baca Dulu'!$B$16),"Ya","Tidak"),"")</f>
        <v/>
      </c>
      <c r="J129" s="19"/>
      <c r="K129" s="19"/>
      <c r="L129" s="19"/>
      <c r="M129" s="25" t="n">
        <f aca="false">IF(C129="Negatif",DATE(YEAR(D129)+'Baca Dulu'!$B$17,MONTH(D129),DAY(D129)),IF(AND(C129="Positif lain",J129="Negatif"),DATE(YEAR(G129)+'Baca Dulu'!$B$18,MONTH(G129),DAY(G129)),IF(AND(C129="Positif 16/18",J129="Negatif"),DATE(YEAR(G129)+'Baca Dulu'!$B$19,MONTH(G129),DAY(G129)),IF(C129="Invalid","Ambil ulang","Ditentukan bidan"))))</f>
        <v>49966</v>
      </c>
    </row>
    <row r="130" customFormat="false" ht="15" hidden="false" customHeight="true" outlineLevel="0" collapsed="false">
      <c r="A130" s="19" t="str">
        <f aca="false">'5 Format Standar'!C130</f>
        <v>P-0128</v>
      </c>
      <c r="B130" s="19" t="str">
        <f aca="false">'5 Format Standar'!A130</f>
        <v>cobas</v>
      </c>
      <c r="C130" s="19" t="str">
        <f aca="false">'5 Format Standar'!M130</f>
        <v>Positif lain</v>
      </c>
      <c r="D130" s="25" t="n">
        <f aca="false">'5 Format Standar'!O130</f>
        <v>46313</v>
      </c>
      <c r="E130" s="20" t="n">
        <f aca="false">D130+2</f>
        <v>46315</v>
      </c>
      <c r="F130" s="19" t="n">
        <f aca="false">IF(ISNUMBER(E130),E130-D130,"")</f>
        <v>2</v>
      </c>
      <c r="G130" s="20" t="n">
        <f aca="false">D130+25</f>
        <v>46338</v>
      </c>
      <c r="H130" s="19" t="n">
        <f aca="false">IF(ISNUMBER(G130),G130-D130,"")</f>
        <v>25</v>
      </c>
      <c r="I130" s="19" t="str">
        <f aca="false">IF(OR(C130="Positif 16/18",C130="Positif lain"),IF(AND(ISNUMBER(H130),H130&lt;='Baca Dulu'!$B$16),"Ya","Tidak"),"")</f>
        <v>Ya</v>
      </c>
      <c r="J130" s="17" t="s">
        <v>781</v>
      </c>
      <c r="K130" s="17" t="s">
        <v>782</v>
      </c>
      <c r="L130" s="17" t="s">
        <v>780</v>
      </c>
      <c r="M130" s="25" t="str">
        <f aca="false">IF(C130="Negatif",DATE(YEAR(D130)+'Baca Dulu'!$B$17,MONTH(D130),DAY(D130)),IF(AND(C130="Positif lain",J130="Negatif"),DATE(YEAR(G130)+'Baca Dulu'!$B$18,MONTH(G130),DAY(G130)),IF(AND(C130="Positif 16/18",J130="Negatif"),DATE(YEAR(G130)+'Baca Dulu'!$B$19,MONTH(G130),DAY(G130)),IF(C130="Invalid","Ambil ulang","Ditentukan bidan"))))</f>
        <v>Ditentukan bidan</v>
      </c>
    </row>
    <row r="131" customFormat="false" ht="15" hidden="false" customHeight="true" outlineLevel="0" collapsed="false">
      <c r="A131" s="19" t="str">
        <f aca="false">'5 Format Standar'!C131</f>
        <v>P-0129</v>
      </c>
      <c r="B131" s="19" t="str">
        <f aca="false">'5 Format Standar'!A131</f>
        <v>cobas</v>
      </c>
      <c r="C131" s="19" t="str">
        <f aca="false">'5 Format Standar'!M131</f>
        <v>Invalid</v>
      </c>
      <c r="D131" s="25" t="n">
        <f aca="false">'5 Format Standar'!O131</f>
        <v>46312</v>
      </c>
      <c r="E131" s="25"/>
      <c r="F131" s="19" t="str">
        <f aca="false">IF(ISNUMBER(E131),E131-D131,"")</f>
        <v/>
      </c>
      <c r="G131" s="25"/>
      <c r="H131" s="19" t="str">
        <f aca="false">IF(ISNUMBER(G131),G131-D131,"")</f>
        <v/>
      </c>
      <c r="I131" s="19" t="str">
        <f aca="false">IF(OR(C131="Positif 16/18",C131="Positif lain"),IF(AND(ISNUMBER(H131),H131&lt;='Baca Dulu'!$B$16),"Ya","Tidak"),"")</f>
        <v/>
      </c>
      <c r="J131" s="19"/>
      <c r="K131" s="19"/>
      <c r="L131" s="19"/>
      <c r="M131" s="25" t="str">
        <f aca="false">IF(C131="Negatif",DATE(YEAR(D131)+'Baca Dulu'!$B$17,MONTH(D131),DAY(D131)),IF(AND(C131="Positif lain",J131="Negatif"),DATE(YEAR(G131)+'Baca Dulu'!$B$18,MONTH(G131),DAY(G131)),IF(AND(C131="Positif 16/18",J131="Negatif"),DATE(YEAR(G131)+'Baca Dulu'!$B$19,MONTH(G131),DAY(G131)),IF(C131="Invalid","Ambil ulang","Ditentukan bidan"))))</f>
        <v>Ambil ulang</v>
      </c>
    </row>
    <row r="132" customFormat="false" ht="15" hidden="false" customHeight="true" outlineLevel="0" collapsed="false">
      <c r="A132" s="19" t="str">
        <f aca="false">'5 Format Standar'!C132</f>
        <v>P-0130</v>
      </c>
      <c r="B132" s="19" t="str">
        <f aca="false">'5 Format Standar'!A132</f>
        <v>cobas</v>
      </c>
      <c r="C132" s="19" t="str">
        <f aca="false">'5 Format Standar'!M132</f>
        <v>Negatif</v>
      </c>
      <c r="D132" s="25" t="n">
        <f aca="false">'5 Format Standar'!O132</f>
        <v>46309</v>
      </c>
      <c r="E132" s="25"/>
      <c r="F132" s="19" t="str">
        <f aca="false">IF(ISNUMBER(E132),E132-D132,"")</f>
        <v/>
      </c>
      <c r="G132" s="25"/>
      <c r="H132" s="19" t="str">
        <f aca="false">IF(ISNUMBER(G132),G132-D132,"")</f>
        <v/>
      </c>
      <c r="I132" s="19" t="str">
        <f aca="false">IF(OR(C132="Positif 16/18",C132="Positif lain"),IF(AND(ISNUMBER(H132),H132&lt;='Baca Dulu'!$B$16),"Ya","Tidak"),"")</f>
        <v/>
      </c>
      <c r="J132" s="19"/>
      <c r="K132" s="19"/>
      <c r="L132" s="19"/>
      <c r="M132" s="25" t="n">
        <f aca="false">IF(C132="Negatif",DATE(YEAR(D132)+'Baca Dulu'!$B$17,MONTH(D132),DAY(D132)),IF(AND(C132="Positif lain",J132="Negatif"),DATE(YEAR(G132)+'Baca Dulu'!$B$18,MONTH(G132),DAY(G132)),IF(AND(C132="Positif 16/18",J132="Negatif"),DATE(YEAR(G132)+'Baca Dulu'!$B$19,MONTH(G132),DAY(G132)),IF(C132="Invalid","Ambil ulang","Ditentukan bidan"))))</f>
        <v>49962</v>
      </c>
    </row>
    <row r="133" customFormat="false" ht="15" hidden="false" customHeight="true" outlineLevel="0" collapsed="false">
      <c r="A133" s="19" t="str">
        <f aca="false">'5 Format Standar'!C133</f>
        <v>P-0131</v>
      </c>
      <c r="B133" s="19" t="str">
        <f aca="false">'5 Format Standar'!A133</f>
        <v>cobas</v>
      </c>
      <c r="C133" s="19" t="str">
        <f aca="false">'5 Format Standar'!M133</f>
        <v>Negatif</v>
      </c>
      <c r="D133" s="25" t="n">
        <f aca="false">'5 Format Standar'!O133</f>
        <v>46310</v>
      </c>
      <c r="E133" s="25"/>
      <c r="F133" s="19" t="str">
        <f aca="false">IF(ISNUMBER(E133),E133-D133,"")</f>
        <v/>
      </c>
      <c r="G133" s="25"/>
      <c r="H133" s="19" t="str">
        <f aca="false">IF(ISNUMBER(G133),G133-D133,"")</f>
        <v/>
      </c>
      <c r="I133" s="19" t="str">
        <f aca="false">IF(OR(C133="Positif 16/18",C133="Positif lain"),IF(AND(ISNUMBER(H133),H133&lt;='Baca Dulu'!$B$16),"Ya","Tidak"),"")</f>
        <v/>
      </c>
      <c r="J133" s="19"/>
      <c r="K133" s="19"/>
      <c r="L133" s="19"/>
      <c r="M133" s="25" t="n">
        <f aca="false">IF(C133="Negatif",DATE(YEAR(D133)+'Baca Dulu'!$B$17,MONTH(D133),DAY(D133)),IF(AND(C133="Positif lain",J133="Negatif"),DATE(YEAR(G133)+'Baca Dulu'!$B$18,MONTH(G133),DAY(G133)),IF(AND(C133="Positif 16/18",J133="Negatif"),DATE(YEAR(G133)+'Baca Dulu'!$B$19,MONTH(G133),DAY(G133)),IF(C133="Invalid","Ambil ulang","Ditentukan bidan"))))</f>
        <v>49963</v>
      </c>
    </row>
    <row r="134" customFormat="false" ht="15" hidden="false" customHeight="true" outlineLevel="0" collapsed="false">
      <c r="A134" s="19" t="str">
        <f aca="false">'5 Format Standar'!C134</f>
        <v>P-0132</v>
      </c>
      <c r="B134" s="19" t="str">
        <f aca="false">'5 Format Standar'!A134</f>
        <v>cobas</v>
      </c>
      <c r="C134" s="19" t="str">
        <f aca="false">'5 Format Standar'!M134</f>
        <v>Negatif</v>
      </c>
      <c r="D134" s="25" t="n">
        <f aca="false">'5 Format Standar'!O134</f>
        <v>46315</v>
      </c>
      <c r="E134" s="25"/>
      <c r="F134" s="19" t="str">
        <f aca="false">IF(ISNUMBER(E134),E134-D134,"")</f>
        <v/>
      </c>
      <c r="G134" s="25"/>
      <c r="H134" s="19" t="str">
        <f aca="false">IF(ISNUMBER(G134),G134-D134,"")</f>
        <v/>
      </c>
      <c r="I134" s="19" t="str">
        <f aca="false">IF(OR(C134="Positif 16/18",C134="Positif lain"),IF(AND(ISNUMBER(H134),H134&lt;='Baca Dulu'!$B$16),"Ya","Tidak"),"")</f>
        <v/>
      </c>
      <c r="J134" s="19"/>
      <c r="K134" s="19"/>
      <c r="L134" s="19"/>
      <c r="M134" s="25" t="n">
        <f aca="false">IF(C134="Negatif",DATE(YEAR(D134)+'Baca Dulu'!$B$17,MONTH(D134),DAY(D134)),IF(AND(C134="Positif lain",J134="Negatif"),DATE(YEAR(G134)+'Baca Dulu'!$B$18,MONTH(G134),DAY(G134)),IF(AND(C134="Positif 16/18",J134="Negatif"),DATE(YEAR(G134)+'Baca Dulu'!$B$19,MONTH(G134),DAY(G134)),IF(C134="Invalid","Ambil ulang","Ditentukan bidan"))))</f>
        <v>49968</v>
      </c>
    </row>
    <row r="135" customFormat="false" ht="15" hidden="false" customHeight="true" outlineLevel="0" collapsed="false">
      <c r="A135" s="19" t="str">
        <f aca="false">'5 Format Standar'!C135</f>
        <v>P-0133</v>
      </c>
      <c r="B135" s="19" t="str">
        <f aca="false">'5 Format Standar'!A135</f>
        <v>cobas</v>
      </c>
      <c r="C135" s="19" t="str">
        <f aca="false">'5 Format Standar'!M135</f>
        <v>Negatif</v>
      </c>
      <c r="D135" s="25" t="n">
        <f aca="false">'5 Format Standar'!O135</f>
        <v>46310</v>
      </c>
      <c r="E135" s="25"/>
      <c r="F135" s="19" t="str">
        <f aca="false">IF(ISNUMBER(E135),E135-D135,"")</f>
        <v/>
      </c>
      <c r="G135" s="25"/>
      <c r="H135" s="19" t="str">
        <f aca="false">IF(ISNUMBER(G135),G135-D135,"")</f>
        <v/>
      </c>
      <c r="I135" s="19" t="str">
        <f aca="false">IF(OR(C135="Positif 16/18",C135="Positif lain"),IF(AND(ISNUMBER(H135),H135&lt;='Baca Dulu'!$B$16),"Ya","Tidak"),"")</f>
        <v/>
      </c>
      <c r="J135" s="19"/>
      <c r="K135" s="19"/>
      <c r="L135" s="19"/>
      <c r="M135" s="25" t="n">
        <f aca="false">IF(C135="Negatif",DATE(YEAR(D135)+'Baca Dulu'!$B$17,MONTH(D135),DAY(D135)),IF(AND(C135="Positif lain",J135="Negatif"),DATE(YEAR(G135)+'Baca Dulu'!$B$18,MONTH(G135),DAY(G135)),IF(AND(C135="Positif 16/18",J135="Negatif"),DATE(YEAR(G135)+'Baca Dulu'!$B$19,MONTH(G135),DAY(G135)),IF(C135="Invalid","Ambil ulang","Ditentukan bidan"))))</f>
        <v>49963</v>
      </c>
    </row>
    <row r="136" customFormat="false" ht="15" hidden="false" customHeight="true" outlineLevel="0" collapsed="false">
      <c r="A136" s="19" t="str">
        <f aca="false">'5 Format Standar'!C136</f>
        <v>P-0134</v>
      </c>
      <c r="B136" s="19" t="str">
        <f aca="false">'5 Format Standar'!A136</f>
        <v>cobas</v>
      </c>
      <c r="C136" s="19" t="str">
        <f aca="false">'5 Format Standar'!M136</f>
        <v>Invalid</v>
      </c>
      <c r="D136" s="25" t="n">
        <f aca="false">'5 Format Standar'!O136</f>
        <v>46309</v>
      </c>
      <c r="E136" s="25"/>
      <c r="F136" s="19" t="str">
        <f aca="false">IF(ISNUMBER(E136),E136-D136,"")</f>
        <v/>
      </c>
      <c r="G136" s="25"/>
      <c r="H136" s="19" t="str">
        <f aca="false">IF(ISNUMBER(G136),G136-D136,"")</f>
        <v/>
      </c>
      <c r="I136" s="19" t="str">
        <f aca="false">IF(OR(C136="Positif 16/18",C136="Positif lain"),IF(AND(ISNUMBER(H136),H136&lt;='Baca Dulu'!$B$16),"Ya","Tidak"),"")</f>
        <v/>
      </c>
      <c r="J136" s="19"/>
      <c r="K136" s="19"/>
      <c r="L136" s="19"/>
      <c r="M136" s="25" t="str">
        <f aca="false">IF(C136="Negatif",DATE(YEAR(D136)+'Baca Dulu'!$B$17,MONTH(D136),DAY(D136)),IF(AND(C136="Positif lain",J136="Negatif"),DATE(YEAR(G136)+'Baca Dulu'!$B$18,MONTH(G136),DAY(G136)),IF(AND(C136="Positif 16/18",J136="Negatif"),DATE(YEAR(G136)+'Baca Dulu'!$B$19,MONTH(G136),DAY(G136)),IF(C136="Invalid","Ambil ulang","Ditentukan bidan"))))</f>
        <v>Ambil ulang</v>
      </c>
    </row>
    <row r="137" customFormat="false" ht="15" hidden="false" customHeight="true" outlineLevel="0" collapsed="false">
      <c r="A137" s="19" t="str">
        <f aca="false">'5 Format Standar'!C137</f>
        <v>P-0135</v>
      </c>
      <c r="B137" s="19" t="str">
        <f aca="false">'5 Format Standar'!A137</f>
        <v>cobas</v>
      </c>
      <c r="C137" s="19" t="str">
        <f aca="false">'5 Format Standar'!M137</f>
        <v>Negatif</v>
      </c>
      <c r="D137" s="25" t="n">
        <f aca="false">'5 Format Standar'!O137</f>
        <v>46308</v>
      </c>
      <c r="E137" s="25"/>
      <c r="F137" s="19" t="str">
        <f aca="false">IF(ISNUMBER(E137),E137-D137,"")</f>
        <v/>
      </c>
      <c r="G137" s="25"/>
      <c r="H137" s="19" t="str">
        <f aca="false">IF(ISNUMBER(G137),G137-D137,"")</f>
        <v/>
      </c>
      <c r="I137" s="19" t="str">
        <f aca="false">IF(OR(C137="Positif 16/18",C137="Positif lain"),IF(AND(ISNUMBER(H137),H137&lt;='Baca Dulu'!$B$16),"Ya","Tidak"),"")</f>
        <v/>
      </c>
      <c r="J137" s="19"/>
      <c r="K137" s="19"/>
      <c r="L137" s="19"/>
      <c r="M137" s="25" t="n">
        <f aca="false">IF(C137="Negatif",DATE(YEAR(D137)+'Baca Dulu'!$B$17,MONTH(D137),DAY(D137)),IF(AND(C137="Positif lain",J137="Negatif"),DATE(YEAR(G137)+'Baca Dulu'!$B$18,MONTH(G137),DAY(G137)),IF(AND(C137="Positif 16/18",J137="Negatif"),DATE(YEAR(G137)+'Baca Dulu'!$B$19,MONTH(G137),DAY(G137)),IF(C137="Invalid","Ambil ulang","Ditentukan bidan"))))</f>
        <v>49961</v>
      </c>
    </row>
    <row r="138" customFormat="false" ht="15" hidden="false" customHeight="true" outlineLevel="0" collapsed="false">
      <c r="A138" s="19" t="str">
        <f aca="false">'5 Format Standar'!C138</f>
        <v>P-0136</v>
      </c>
      <c r="B138" s="19" t="str">
        <f aca="false">'5 Format Standar'!A138</f>
        <v>cobas</v>
      </c>
      <c r="C138" s="19" t="str">
        <f aca="false">'5 Format Standar'!M138</f>
        <v>Negatif</v>
      </c>
      <c r="D138" s="25" t="n">
        <f aca="false">'5 Format Standar'!O138</f>
        <v>46304</v>
      </c>
      <c r="E138" s="25"/>
      <c r="F138" s="19" t="str">
        <f aca="false">IF(ISNUMBER(E138),E138-D138,"")</f>
        <v/>
      </c>
      <c r="G138" s="25"/>
      <c r="H138" s="19" t="str">
        <f aca="false">IF(ISNUMBER(G138),G138-D138,"")</f>
        <v/>
      </c>
      <c r="I138" s="19" t="str">
        <f aca="false">IF(OR(C138="Positif 16/18",C138="Positif lain"),IF(AND(ISNUMBER(H138),H138&lt;='Baca Dulu'!$B$16),"Ya","Tidak"),"")</f>
        <v/>
      </c>
      <c r="J138" s="19"/>
      <c r="K138" s="19"/>
      <c r="L138" s="19"/>
      <c r="M138" s="25" t="n">
        <f aca="false">IF(C138="Negatif",DATE(YEAR(D138)+'Baca Dulu'!$B$17,MONTH(D138),DAY(D138)),IF(AND(C138="Positif lain",J138="Negatif"),DATE(YEAR(G138)+'Baca Dulu'!$B$18,MONTH(G138),DAY(G138)),IF(AND(C138="Positif 16/18",J138="Negatif"),DATE(YEAR(G138)+'Baca Dulu'!$B$19,MONTH(G138),DAY(G138)),IF(C138="Invalid","Ambil ulang","Ditentukan bidan"))))</f>
        <v>49957</v>
      </c>
    </row>
    <row r="139" customFormat="false" ht="15" hidden="false" customHeight="true" outlineLevel="0" collapsed="false">
      <c r="A139" s="19" t="str">
        <f aca="false">'5 Format Standar'!C139</f>
        <v>P-0137</v>
      </c>
      <c r="B139" s="19" t="str">
        <f aca="false">'5 Format Standar'!A139</f>
        <v>cobas</v>
      </c>
      <c r="C139" s="19" t="str">
        <f aca="false">'5 Format Standar'!M139</f>
        <v>Positif 16/18</v>
      </c>
      <c r="D139" s="25" t="n">
        <f aca="false">'5 Format Standar'!O139</f>
        <v>46311</v>
      </c>
      <c r="E139" s="20" t="n">
        <f aca="false">D139+1</f>
        <v>46312</v>
      </c>
      <c r="F139" s="19" t="n">
        <f aca="false">IF(ISNUMBER(E139),E139-D139,"")</f>
        <v>1</v>
      </c>
      <c r="G139" s="20" t="n">
        <f aca="false">D139+18</f>
        <v>46329</v>
      </c>
      <c r="H139" s="19" t="n">
        <f aca="false">IF(ISNUMBER(G139),G139-D139,"")</f>
        <v>18</v>
      </c>
      <c r="I139" s="19" t="str">
        <f aca="false">IF(OR(C139="Positif 16/18",C139="Positif lain"),IF(AND(ISNUMBER(H139),H139&lt;='Baca Dulu'!$B$16),"Ya","Tidak"),"")</f>
        <v>Ya</v>
      </c>
      <c r="J139" s="17" t="s">
        <v>263</v>
      </c>
      <c r="K139" s="17" t="s">
        <v>779</v>
      </c>
      <c r="L139" s="17" t="s">
        <v>780</v>
      </c>
      <c r="M139" s="25" t="n">
        <f aca="false">IF(C139="Negatif",DATE(YEAR(D139)+'Baca Dulu'!$B$17,MONTH(D139),DAY(D139)),IF(AND(C139="Positif lain",J139="Negatif"),DATE(YEAR(G139)+'Baca Dulu'!$B$18,MONTH(G139),DAY(G139)),IF(AND(C139="Positif 16/18",J139="Negatif"),DATE(YEAR(G139)+'Baca Dulu'!$B$19,MONTH(G139),DAY(G139)),IF(C139="Invalid","Ambil ulang","Ditentukan bidan"))))</f>
        <v>46694</v>
      </c>
    </row>
    <row r="140" customFormat="false" ht="15" hidden="false" customHeight="true" outlineLevel="0" collapsed="false">
      <c r="A140" s="19" t="str">
        <f aca="false">'5 Format Standar'!C140</f>
        <v>P-0138</v>
      </c>
      <c r="B140" s="19" t="str">
        <f aca="false">'5 Format Standar'!A140</f>
        <v>cobas</v>
      </c>
      <c r="C140" s="19" t="str">
        <f aca="false">'5 Format Standar'!M140</f>
        <v>Negatif</v>
      </c>
      <c r="D140" s="25" t="n">
        <f aca="false">'5 Format Standar'!O140</f>
        <v>46315</v>
      </c>
      <c r="E140" s="25"/>
      <c r="F140" s="19" t="str">
        <f aca="false">IF(ISNUMBER(E140),E140-D140,"")</f>
        <v/>
      </c>
      <c r="G140" s="25"/>
      <c r="H140" s="19" t="str">
        <f aca="false">IF(ISNUMBER(G140),G140-D140,"")</f>
        <v/>
      </c>
      <c r="I140" s="19" t="str">
        <f aca="false">IF(OR(C140="Positif 16/18",C140="Positif lain"),IF(AND(ISNUMBER(H140),H140&lt;='Baca Dulu'!$B$16),"Ya","Tidak"),"")</f>
        <v/>
      </c>
      <c r="J140" s="19"/>
      <c r="K140" s="19"/>
      <c r="L140" s="19"/>
      <c r="M140" s="25" t="n">
        <f aca="false">IF(C140="Negatif",DATE(YEAR(D140)+'Baca Dulu'!$B$17,MONTH(D140),DAY(D140)),IF(AND(C140="Positif lain",J140="Negatif"),DATE(YEAR(G140)+'Baca Dulu'!$B$18,MONTH(G140),DAY(G140)),IF(AND(C140="Positif 16/18",J140="Negatif"),DATE(YEAR(G140)+'Baca Dulu'!$B$19,MONTH(G140),DAY(G140)),IF(C140="Invalid","Ambil ulang","Ditentukan bidan"))))</f>
        <v>49968</v>
      </c>
    </row>
    <row r="141" customFormat="false" ht="15" hidden="false" customHeight="true" outlineLevel="0" collapsed="false">
      <c r="A141" s="19" t="str">
        <f aca="false">'5 Format Standar'!C141</f>
        <v>P-0139</v>
      </c>
      <c r="B141" s="19" t="str">
        <f aca="false">'5 Format Standar'!A141</f>
        <v>cobas</v>
      </c>
      <c r="C141" s="19" t="str">
        <f aca="false">'5 Format Standar'!M141</f>
        <v>Negatif</v>
      </c>
      <c r="D141" s="25" t="n">
        <f aca="false">'5 Format Standar'!O141</f>
        <v>46306</v>
      </c>
      <c r="E141" s="25"/>
      <c r="F141" s="19" t="str">
        <f aca="false">IF(ISNUMBER(E141),E141-D141,"")</f>
        <v/>
      </c>
      <c r="G141" s="25"/>
      <c r="H141" s="19" t="str">
        <f aca="false">IF(ISNUMBER(G141),G141-D141,"")</f>
        <v/>
      </c>
      <c r="I141" s="19" t="str">
        <f aca="false">IF(OR(C141="Positif 16/18",C141="Positif lain"),IF(AND(ISNUMBER(H141),H141&lt;='Baca Dulu'!$B$16),"Ya","Tidak"),"")</f>
        <v/>
      </c>
      <c r="J141" s="19"/>
      <c r="K141" s="19"/>
      <c r="L141" s="19"/>
      <c r="M141" s="25" t="n">
        <f aca="false">IF(C141="Negatif",DATE(YEAR(D141)+'Baca Dulu'!$B$17,MONTH(D141),DAY(D141)),IF(AND(C141="Positif lain",J141="Negatif"),DATE(YEAR(G141)+'Baca Dulu'!$B$18,MONTH(G141),DAY(G141)),IF(AND(C141="Positif 16/18",J141="Negatif"),DATE(YEAR(G141)+'Baca Dulu'!$B$19,MONTH(G141),DAY(G141)),IF(C141="Invalid","Ambil ulang","Ditentukan bidan"))))</f>
        <v>49959</v>
      </c>
    </row>
    <row r="142" customFormat="false" ht="15" hidden="false" customHeight="true" outlineLevel="0" collapsed="false">
      <c r="A142" s="19" t="str">
        <f aca="false">'5 Format Standar'!C142</f>
        <v>P-0140</v>
      </c>
      <c r="B142" s="19" t="str">
        <f aca="false">'5 Format Standar'!A142</f>
        <v>cobas</v>
      </c>
      <c r="C142" s="19" t="str">
        <f aca="false">'5 Format Standar'!M142</f>
        <v>Negatif</v>
      </c>
      <c r="D142" s="25" t="n">
        <f aca="false">'5 Format Standar'!O142</f>
        <v>46308</v>
      </c>
      <c r="E142" s="25"/>
      <c r="F142" s="19" t="str">
        <f aca="false">IF(ISNUMBER(E142),E142-D142,"")</f>
        <v/>
      </c>
      <c r="G142" s="25"/>
      <c r="H142" s="19" t="str">
        <f aca="false">IF(ISNUMBER(G142),G142-D142,"")</f>
        <v/>
      </c>
      <c r="I142" s="19" t="str">
        <f aca="false">IF(OR(C142="Positif 16/18",C142="Positif lain"),IF(AND(ISNUMBER(H142),H142&lt;='Baca Dulu'!$B$16),"Ya","Tidak"),"")</f>
        <v/>
      </c>
      <c r="J142" s="19"/>
      <c r="K142" s="19"/>
      <c r="L142" s="19"/>
      <c r="M142" s="25" t="n">
        <f aca="false">IF(C142="Negatif",DATE(YEAR(D142)+'Baca Dulu'!$B$17,MONTH(D142),DAY(D142)),IF(AND(C142="Positif lain",J142="Negatif"),DATE(YEAR(G142)+'Baca Dulu'!$B$18,MONTH(G142),DAY(G142)),IF(AND(C142="Positif 16/18",J142="Negatif"),DATE(YEAR(G142)+'Baca Dulu'!$B$19,MONTH(G142),DAY(G142)),IF(C142="Invalid","Ambil ulang","Ditentukan bidan"))))</f>
        <v>49961</v>
      </c>
    </row>
    <row r="143" customFormat="false" ht="15" hidden="false" customHeight="true" outlineLevel="0" collapsed="false">
      <c r="A143" s="19" t="str">
        <f aca="false">'5 Format Standar'!C143</f>
        <v>P-0141</v>
      </c>
      <c r="B143" s="19" t="str">
        <f aca="false">'5 Format Standar'!A143</f>
        <v>cobas</v>
      </c>
      <c r="C143" s="19" t="str">
        <f aca="false">'5 Format Standar'!M143</f>
        <v>Negatif</v>
      </c>
      <c r="D143" s="25" t="n">
        <f aca="false">'5 Format Standar'!O143</f>
        <v>46310</v>
      </c>
      <c r="E143" s="25"/>
      <c r="F143" s="19" t="str">
        <f aca="false">IF(ISNUMBER(E143),E143-D143,"")</f>
        <v/>
      </c>
      <c r="G143" s="25"/>
      <c r="H143" s="19" t="str">
        <f aca="false">IF(ISNUMBER(G143),G143-D143,"")</f>
        <v/>
      </c>
      <c r="I143" s="19" t="str">
        <f aca="false">IF(OR(C143="Positif 16/18",C143="Positif lain"),IF(AND(ISNUMBER(H143),H143&lt;='Baca Dulu'!$B$16),"Ya","Tidak"),"")</f>
        <v/>
      </c>
      <c r="J143" s="19"/>
      <c r="K143" s="19"/>
      <c r="L143" s="19"/>
      <c r="M143" s="25" t="n">
        <f aca="false">IF(C143="Negatif",DATE(YEAR(D143)+'Baca Dulu'!$B$17,MONTH(D143),DAY(D143)),IF(AND(C143="Positif lain",J143="Negatif"),DATE(YEAR(G143)+'Baca Dulu'!$B$18,MONTH(G143),DAY(G143)),IF(AND(C143="Positif 16/18",J143="Negatif"),DATE(YEAR(G143)+'Baca Dulu'!$B$19,MONTH(G143),DAY(G143)),IF(C143="Invalid","Ambil ulang","Ditentukan bidan"))))</f>
        <v>49963</v>
      </c>
    </row>
    <row r="144" customFormat="false" ht="15" hidden="false" customHeight="true" outlineLevel="0" collapsed="false">
      <c r="A144" s="19" t="str">
        <f aca="false">'5 Format Standar'!C144</f>
        <v>P-0142</v>
      </c>
      <c r="B144" s="19" t="str">
        <f aca="false">'5 Format Standar'!A144</f>
        <v>cobas</v>
      </c>
      <c r="C144" s="19" t="str">
        <f aca="false">'5 Format Standar'!M144</f>
        <v>Positif lain</v>
      </c>
      <c r="D144" s="25" t="n">
        <f aca="false">'5 Format Standar'!O144</f>
        <v>46313</v>
      </c>
      <c r="E144" s="20" t="n">
        <f aca="false">D144+3</f>
        <v>46316</v>
      </c>
      <c r="F144" s="19" t="n">
        <f aca="false">IF(ISNUMBER(E144),E144-D144,"")</f>
        <v>3</v>
      </c>
      <c r="G144" s="20"/>
      <c r="H144" s="19" t="str">
        <f aca="false">IF(ISNUMBER(G144),G144-D144,"")</f>
        <v/>
      </c>
      <c r="I144" s="19" t="str">
        <f aca="false">IF(OR(C144="Positif 16/18",C144="Positif lain"),IF(AND(ISNUMBER(H144),H144&lt;='Baca Dulu'!$B$16),"Ya","Tidak"),"")</f>
        <v>Tidak</v>
      </c>
      <c r="J144" s="17"/>
      <c r="K144" s="17"/>
      <c r="L144" s="17"/>
      <c r="M144" s="25" t="str">
        <f aca="false">IF(C144="Negatif",DATE(YEAR(D144)+'Baca Dulu'!$B$17,MONTH(D144),DAY(D144)),IF(AND(C144="Positif lain",J144="Negatif"),DATE(YEAR(G144)+'Baca Dulu'!$B$18,MONTH(G144),DAY(G144)),IF(AND(C144="Positif 16/18",J144="Negatif"),DATE(YEAR(G144)+'Baca Dulu'!$B$19,MONTH(G144),DAY(G144)),IF(C144="Invalid","Ambil ulang","Ditentukan bidan"))))</f>
        <v>Ditentukan bidan</v>
      </c>
    </row>
    <row r="145" customFormat="false" ht="15" hidden="false" customHeight="true" outlineLevel="0" collapsed="false">
      <c r="A145" s="19" t="str">
        <f aca="false">'5 Format Standar'!C145</f>
        <v>P-0143</v>
      </c>
      <c r="B145" s="19" t="str">
        <f aca="false">'5 Format Standar'!A145</f>
        <v>cobas</v>
      </c>
      <c r="C145" s="19" t="str">
        <f aca="false">'5 Format Standar'!M145</f>
        <v>Negatif</v>
      </c>
      <c r="D145" s="25" t="n">
        <f aca="false">'5 Format Standar'!O145</f>
        <v>46313</v>
      </c>
      <c r="E145" s="25"/>
      <c r="F145" s="19" t="str">
        <f aca="false">IF(ISNUMBER(E145),E145-D145,"")</f>
        <v/>
      </c>
      <c r="G145" s="25"/>
      <c r="H145" s="19" t="str">
        <f aca="false">IF(ISNUMBER(G145),G145-D145,"")</f>
        <v/>
      </c>
      <c r="I145" s="19" t="str">
        <f aca="false">IF(OR(C145="Positif 16/18",C145="Positif lain"),IF(AND(ISNUMBER(H145),H145&lt;='Baca Dulu'!$B$16),"Ya","Tidak"),"")</f>
        <v/>
      </c>
      <c r="J145" s="19"/>
      <c r="K145" s="19"/>
      <c r="L145" s="19"/>
      <c r="M145" s="25" t="n">
        <f aca="false">IF(C145="Negatif",DATE(YEAR(D145)+'Baca Dulu'!$B$17,MONTH(D145),DAY(D145)),IF(AND(C145="Positif lain",J145="Negatif"),DATE(YEAR(G145)+'Baca Dulu'!$B$18,MONTH(G145),DAY(G145)),IF(AND(C145="Positif 16/18",J145="Negatif"),DATE(YEAR(G145)+'Baca Dulu'!$B$19,MONTH(G145),DAY(G145)),IF(C145="Invalid","Ambil ulang","Ditentukan bidan"))))</f>
        <v>49966</v>
      </c>
    </row>
    <row r="146" customFormat="false" ht="15" hidden="false" customHeight="true" outlineLevel="0" collapsed="false">
      <c r="A146" s="19" t="str">
        <f aca="false">'5 Format Standar'!C146</f>
        <v>P-0144</v>
      </c>
      <c r="B146" s="19" t="str">
        <f aca="false">'5 Format Standar'!A146</f>
        <v>cobas</v>
      </c>
      <c r="C146" s="19" t="str">
        <f aca="false">'5 Format Standar'!M146</f>
        <v>Negatif</v>
      </c>
      <c r="D146" s="25" t="n">
        <f aca="false">'5 Format Standar'!O146</f>
        <v>46307</v>
      </c>
      <c r="E146" s="25"/>
      <c r="F146" s="19" t="str">
        <f aca="false">IF(ISNUMBER(E146),E146-D146,"")</f>
        <v/>
      </c>
      <c r="G146" s="25"/>
      <c r="H146" s="19" t="str">
        <f aca="false">IF(ISNUMBER(G146),G146-D146,"")</f>
        <v/>
      </c>
      <c r="I146" s="19" t="str">
        <f aca="false">IF(OR(C146="Positif 16/18",C146="Positif lain"),IF(AND(ISNUMBER(H146),H146&lt;='Baca Dulu'!$B$16),"Ya","Tidak"),"")</f>
        <v/>
      </c>
      <c r="J146" s="19"/>
      <c r="K146" s="19"/>
      <c r="L146" s="19"/>
      <c r="M146" s="25" t="n">
        <f aca="false">IF(C146="Negatif",DATE(YEAR(D146)+'Baca Dulu'!$B$17,MONTH(D146),DAY(D146)),IF(AND(C146="Positif lain",J146="Negatif"),DATE(YEAR(G146)+'Baca Dulu'!$B$18,MONTH(G146),DAY(G146)),IF(AND(C146="Positif 16/18",J146="Negatif"),DATE(YEAR(G146)+'Baca Dulu'!$B$19,MONTH(G146),DAY(G146)),IF(C146="Invalid","Ambil ulang","Ditentukan bidan"))))</f>
        <v>49960</v>
      </c>
    </row>
    <row r="147" customFormat="false" ht="15" hidden="false" customHeight="true" outlineLevel="0" collapsed="false">
      <c r="A147" s="19" t="str">
        <f aca="false">'5 Format Standar'!C147</f>
        <v>P-0145</v>
      </c>
      <c r="B147" s="19" t="str">
        <f aca="false">'5 Format Standar'!A147</f>
        <v>cobas</v>
      </c>
      <c r="C147" s="19" t="str">
        <f aca="false">'5 Format Standar'!M147</f>
        <v>Positif lain</v>
      </c>
      <c r="D147" s="25" t="n">
        <f aca="false">'5 Format Standar'!O147</f>
        <v>46307</v>
      </c>
      <c r="E147" s="20" t="n">
        <f aca="false">D147+2</f>
        <v>46309</v>
      </c>
      <c r="F147" s="19" t="n">
        <f aca="false">IF(ISNUMBER(E147),E147-D147,"")</f>
        <v>2</v>
      </c>
      <c r="G147" s="20" t="n">
        <f aca="false">D147+33</f>
        <v>46340</v>
      </c>
      <c r="H147" s="19" t="n">
        <f aca="false">IF(ISNUMBER(G147),G147-D147,"")</f>
        <v>33</v>
      </c>
      <c r="I147" s="19" t="str">
        <f aca="false">IF(OR(C147="Positif 16/18",C147="Positif lain"),IF(AND(ISNUMBER(H147),H147&lt;='Baca Dulu'!$B$16),"Ya","Tidak"),"")</f>
        <v>Ya</v>
      </c>
      <c r="J147" s="17" t="s">
        <v>263</v>
      </c>
      <c r="K147" s="17" t="s">
        <v>779</v>
      </c>
      <c r="L147" s="17" t="s">
        <v>780</v>
      </c>
      <c r="M147" s="25" t="n">
        <f aca="false">IF(C147="Negatif",DATE(YEAR(D147)+'Baca Dulu'!$B$17,MONTH(D147),DAY(D147)),IF(AND(C147="Positif lain",J147="Negatif"),DATE(YEAR(G147)+'Baca Dulu'!$B$18,MONTH(G147),DAY(G147)),IF(AND(C147="Positif 16/18",J147="Negatif"),DATE(YEAR(G147)+'Baca Dulu'!$B$19,MONTH(G147),DAY(G147)),IF(C147="Invalid","Ambil ulang","Ditentukan bidan"))))</f>
        <v>47436</v>
      </c>
    </row>
    <row r="148" customFormat="false" ht="15" hidden="false" customHeight="true" outlineLevel="0" collapsed="false">
      <c r="A148" s="19" t="str">
        <f aca="false">'5 Format Standar'!C148</f>
        <v>P-0146</v>
      </c>
      <c r="B148" s="19" t="str">
        <f aca="false">'5 Format Standar'!A148</f>
        <v>cobas</v>
      </c>
      <c r="C148" s="19" t="str">
        <f aca="false">'5 Format Standar'!M148</f>
        <v>Negatif</v>
      </c>
      <c r="D148" s="25" t="n">
        <f aca="false">'5 Format Standar'!O148</f>
        <v>46304</v>
      </c>
      <c r="E148" s="25"/>
      <c r="F148" s="19" t="str">
        <f aca="false">IF(ISNUMBER(E148),E148-D148,"")</f>
        <v/>
      </c>
      <c r="G148" s="25"/>
      <c r="H148" s="19" t="str">
        <f aca="false">IF(ISNUMBER(G148),G148-D148,"")</f>
        <v/>
      </c>
      <c r="I148" s="19" t="str">
        <f aca="false">IF(OR(C148="Positif 16/18",C148="Positif lain"),IF(AND(ISNUMBER(H148),H148&lt;='Baca Dulu'!$B$16),"Ya","Tidak"),"")</f>
        <v/>
      </c>
      <c r="J148" s="19"/>
      <c r="K148" s="19"/>
      <c r="L148" s="19"/>
      <c r="M148" s="25" t="n">
        <f aca="false">IF(C148="Negatif",DATE(YEAR(D148)+'Baca Dulu'!$B$17,MONTH(D148),DAY(D148)),IF(AND(C148="Positif lain",J148="Negatif"),DATE(YEAR(G148)+'Baca Dulu'!$B$18,MONTH(G148),DAY(G148)),IF(AND(C148="Positif 16/18",J148="Negatif"),DATE(YEAR(G148)+'Baca Dulu'!$B$19,MONTH(G148),DAY(G148)),IF(C148="Invalid","Ambil ulang","Ditentukan bidan"))))</f>
        <v>49957</v>
      </c>
    </row>
    <row r="149" customFormat="false" ht="15" hidden="false" customHeight="true" outlineLevel="0" collapsed="false">
      <c r="A149" s="19" t="str">
        <f aca="false">'5 Format Standar'!C149</f>
        <v>P-0147</v>
      </c>
      <c r="B149" s="19" t="str">
        <f aca="false">'5 Format Standar'!A149</f>
        <v>cobas</v>
      </c>
      <c r="C149" s="19" t="str">
        <f aca="false">'5 Format Standar'!M149</f>
        <v>Negatif</v>
      </c>
      <c r="D149" s="25" t="n">
        <f aca="false">'5 Format Standar'!O149</f>
        <v>46304</v>
      </c>
      <c r="E149" s="25"/>
      <c r="F149" s="19" t="str">
        <f aca="false">IF(ISNUMBER(E149),E149-D149,"")</f>
        <v/>
      </c>
      <c r="G149" s="25"/>
      <c r="H149" s="19" t="str">
        <f aca="false">IF(ISNUMBER(G149),G149-D149,"")</f>
        <v/>
      </c>
      <c r="I149" s="19" t="str">
        <f aca="false">IF(OR(C149="Positif 16/18",C149="Positif lain"),IF(AND(ISNUMBER(H149),H149&lt;='Baca Dulu'!$B$16),"Ya","Tidak"),"")</f>
        <v/>
      </c>
      <c r="J149" s="19"/>
      <c r="K149" s="19"/>
      <c r="L149" s="19"/>
      <c r="M149" s="25" t="n">
        <f aca="false">IF(C149="Negatif",DATE(YEAR(D149)+'Baca Dulu'!$B$17,MONTH(D149),DAY(D149)),IF(AND(C149="Positif lain",J149="Negatif"),DATE(YEAR(G149)+'Baca Dulu'!$B$18,MONTH(G149),DAY(G149)),IF(AND(C149="Positif 16/18",J149="Negatif"),DATE(YEAR(G149)+'Baca Dulu'!$B$19,MONTH(G149),DAY(G149)),IF(C149="Invalid","Ambil ulang","Ditentukan bidan"))))</f>
        <v>49957</v>
      </c>
    </row>
    <row r="150" customFormat="false" ht="15" hidden="false" customHeight="true" outlineLevel="0" collapsed="false">
      <c r="A150" s="19" t="str">
        <f aca="false">'5 Format Standar'!C150</f>
        <v>P-0148</v>
      </c>
      <c r="B150" s="19" t="str">
        <f aca="false">'5 Format Standar'!A150</f>
        <v>cobas</v>
      </c>
      <c r="C150" s="19" t="str">
        <f aca="false">'5 Format Standar'!M150</f>
        <v>Positif lain</v>
      </c>
      <c r="D150" s="25" t="n">
        <f aca="false">'5 Format Standar'!O150</f>
        <v>46306</v>
      </c>
      <c r="E150" s="20" t="n">
        <f aca="false">D150+1</f>
        <v>46307</v>
      </c>
      <c r="F150" s="19" t="n">
        <f aca="false">IF(ISNUMBER(E150),E150-D150,"")</f>
        <v>1</v>
      </c>
      <c r="G150" s="20" t="n">
        <f aca="false">D150+41</f>
        <v>46347</v>
      </c>
      <c r="H150" s="19" t="n">
        <f aca="false">IF(ISNUMBER(G150),G150-D150,"")</f>
        <v>41</v>
      </c>
      <c r="I150" s="19" t="str">
        <f aca="false">IF(OR(C150="Positif 16/18",C150="Positif lain"),IF(AND(ISNUMBER(H150),H150&lt;='Baca Dulu'!$B$16),"Ya","Tidak"),"")</f>
        <v>Ya</v>
      </c>
      <c r="J150" s="17" t="s">
        <v>263</v>
      </c>
      <c r="K150" s="17" t="s">
        <v>779</v>
      </c>
      <c r="L150" s="17" t="s">
        <v>780</v>
      </c>
      <c r="M150" s="25" t="n">
        <f aca="false">IF(C150="Negatif",DATE(YEAR(D150)+'Baca Dulu'!$B$17,MONTH(D150),DAY(D150)),IF(AND(C150="Positif lain",J150="Negatif"),DATE(YEAR(G150)+'Baca Dulu'!$B$18,MONTH(G150),DAY(G150)),IF(AND(C150="Positif 16/18",J150="Negatif"),DATE(YEAR(G150)+'Baca Dulu'!$B$19,MONTH(G150),DAY(G150)),IF(C150="Invalid","Ambil ulang","Ditentukan bidan"))))</f>
        <v>47443</v>
      </c>
    </row>
    <row r="151" customFormat="false" ht="15" hidden="false" customHeight="true" outlineLevel="0" collapsed="false">
      <c r="A151" s="19" t="str">
        <f aca="false">'5 Format Standar'!C151</f>
        <v>P-0149</v>
      </c>
      <c r="B151" s="19" t="str">
        <f aca="false">'5 Format Standar'!A151</f>
        <v>cobas</v>
      </c>
      <c r="C151" s="19" t="str">
        <f aca="false">'5 Format Standar'!M151</f>
        <v>Negatif</v>
      </c>
      <c r="D151" s="25" t="n">
        <f aca="false">'5 Format Standar'!O151</f>
        <v>46311</v>
      </c>
      <c r="E151" s="25"/>
      <c r="F151" s="19" t="str">
        <f aca="false">IF(ISNUMBER(E151),E151-D151,"")</f>
        <v/>
      </c>
      <c r="G151" s="25"/>
      <c r="H151" s="19" t="str">
        <f aca="false">IF(ISNUMBER(G151),G151-D151,"")</f>
        <v/>
      </c>
      <c r="I151" s="19" t="str">
        <f aca="false">IF(OR(C151="Positif 16/18",C151="Positif lain"),IF(AND(ISNUMBER(H151),H151&lt;='Baca Dulu'!$B$16),"Ya","Tidak"),"")</f>
        <v/>
      </c>
      <c r="J151" s="19"/>
      <c r="K151" s="19"/>
      <c r="L151" s="19"/>
      <c r="M151" s="25" t="n">
        <f aca="false">IF(C151="Negatif",DATE(YEAR(D151)+'Baca Dulu'!$B$17,MONTH(D151),DAY(D151)),IF(AND(C151="Positif lain",J151="Negatif"),DATE(YEAR(G151)+'Baca Dulu'!$B$18,MONTH(G151),DAY(G151)),IF(AND(C151="Positif 16/18",J151="Negatif"),DATE(YEAR(G151)+'Baca Dulu'!$B$19,MONTH(G151),DAY(G151)),IF(C151="Invalid","Ambil ulang","Ditentukan bidan"))))</f>
        <v>49964</v>
      </c>
    </row>
    <row r="152" customFormat="false" ht="15" hidden="false" customHeight="true" outlineLevel="0" collapsed="false">
      <c r="A152" s="19" t="str">
        <f aca="false">'5 Format Standar'!C152</f>
        <v>P-0150</v>
      </c>
      <c r="B152" s="19" t="str">
        <f aca="false">'5 Format Standar'!A152</f>
        <v>cobas</v>
      </c>
      <c r="C152" s="19" t="str">
        <f aca="false">'5 Format Standar'!M152</f>
        <v>Negatif</v>
      </c>
      <c r="D152" s="25" t="n">
        <f aca="false">'5 Format Standar'!O152</f>
        <v>46314</v>
      </c>
      <c r="E152" s="25"/>
      <c r="F152" s="19" t="str">
        <f aca="false">IF(ISNUMBER(E152),E152-D152,"")</f>
        <v/>
      </c>
      <c r="G152" s="25"/>
      <c r="H152" s="19" t="str">
        <f aca="false">IF(ISNUMBER(G152),G152-D152,"")</f>
        <v/>
      </c>
      <c r="I152" s="19" t="str">
        <f aca="false">IF(OR(C152="Positif 16/18",C152="Positif lain"),IF(AND(ISNUMBER(H152),H152&lt;='Baca Dulu'!$B$16),"Ya","Tidak"),"")</f>
        <v/>
      </c>
      <c r="J152" s="19"/>
      <c r="K152" s="19"/>
      <c r="L152" s="19"/>
      <c r="M152" s="25" t="n">
        <f aca="false">IF(C152="Negatif",DATE(YEAR(D152)+'Baca Dulu'!$B$17,MONTH(D152),DAY(D152)),IF(AND(C152="Positif lain",J152="Negatif"),DATE(YEAR(G152)+'Baca Dulu'!$B$18,MONTH(G152),DAY(G152)),IF(AND(C152="Positif 16/18",J152="Negatif"),DATE(YEAR(G152)+'Baca Dulu'!$B$19,MONTH(G152),DAY(G152)),IF(C152="Invalid","Ambil ulang","Ditentukan bidan"))))</f>
        <v>49967</v>
      </c>
    </row>
    <row r="153" customFormat="false" ht="15" hidden="false" customHeight="true" outlineLevel="0" collapsed="false">
      <c r="A153" s="19" t="str">
        <f aca="false">'5 Format Standar'!C153</f>
        <v>P-0151</v>
      </c>
      <c r="B153" s="19" t="str">
        <f aca="false">'5 Format Standar'!A153</f>
        <v>cobas</v>
      </c>
      <c r="C153" s="19" t="str">
        <f aca="false">'5 Format Standar'!M153</f>
        <v>Negatif</v>
      </c>
      <c r="D153" s="25" t="n">
        <f aca="false">'5 Format Standar'!O153</f>
        <v>46308</v>
      </c>
      <c r="E153" s="25"/>
      <c r="F153" s="19" t="str">
        <f aca="false">IF(ISNUMBER(E153),E153-D153,"")</f>
        <v/>
      </c>
      <c r="G153" s="25"/>
      <c r="H153" s="19" t="str">
        <f aca="false">IF(ISNUMBER(G153),G153-D153,"")</f>
        <v/>
      </c>
      <c r="I153" s="19" t="str">
        <f aca="false">IF(OR(C153="Positif 16/18",C153="Positif lain"),IF(AND(ISNUMBER(H153),H153&lt;='Baca Dulu'!$B$16),"Ya","Tidak"),"")</f>
        <v/>
      </c>
      <c r="J153" s="19"/>
      <c r="K153" s="19"/>
      <c r="L153" s="19"/>
      <c r="M153" s="25" t="n">
        <f aca="false">IF(C153="Negatif",DATE(YEAR(D153)+'Baca Dulu'!$B$17,MONTH(D153),DAY(D153)),IF(AND(C153="Positif lain",J153="Negatif"),DATE(YEAR(G153)+'Baca Dulu'!$B$18,MONTH(G153),DAY(G153)),IF(AND(C153="Positif 16/18",J153="Negatif"),DATE(YEAR(G153)+'Baca Dulu'!$B$19,MONTH(G153),DAY(G153)),IF(C153="Invalid","Ambil ulang","Ditentukan bidan"))))</f>
        <v>49961</v>
      </c>
    </row>
    <row r="154" customFormat="false" ht="15" hidden="false" customHeight="true" outlineLevel="0" collapsed="false">
      <c r="A154" s="19" t="str">
        <f aca="false">'5 Format Standar'!C154</f>
        <v>P-0152</v>
      </c>
      <c r="B154" s="19" t="str">
        <f aca="false">'5 Format Standar'!A154</f>
        <v>cobas</v>
      </c>
      <c r="C154" s="19" t="str">
        <f aca="false">'5 Format Standar'!M154</f>
        <v>Negatif</v>
      </c>
      <c r="D154" s="25" t="n">
        <f aca="false">'5 Format Standar'!O154</f>
        <v>46304</v>
      </c>
      <c r="E154" s="25"/>
      <c r="F154" s="19" t="str">
        <f aca="false">IF(ISNUMBER(E154),E154-D154,"")</f>
        <v/>
      </c>
      <c r="G154" s="25"/>
      <c r="H154" s="19" t="str">
        <f aca="false">IF(ISNUMBER(G154),G154-D154,"")</f>
        <v/>
      </c>
      <c r="I154" s="19" t="str">
        <f aca="false">IF(OR(C154="Positif 16/18",C154="Positif lain"),IF(AND(ISNUMBER(H154),H154&lt;='Baca Dulu'!$B$16),"Ya","Tidak"),"")</f>
        <v/>
      </c>
      <c r="J154" s="19"/>
      <c r="K154" s="19"/>
      <c r="L154" s="19"/>
      <c r="M154" s="25" t="n">
        <f aca="false">IF(C154="Negatif",DATE(YEAR(D154)+'Baca Dulu'!$B$17,MONTH(D154),DAY(D154)),IF(AND(C154="Positif lain",J154="Negatif"),DATE(YEAR(G154)+'Baca Dulu'!$B$18,MONTH(G154),DAY(G154)),IF(AND(C154="Positif 16/18",J154="Negatif"),DATE(YEAR(G154)+'Baca Dulu'!$B$19,MONTH(G154),DAY(G154)),IF(C154="Invalid","Ambil ulang","Ditentukan bidan"))))</f>
        <v>49957</v>
      </c>
    </row>
    <row r="155" customFormat="false" ht="15" hidden="false" customHeight="true" outlineLevel="0" collapsed="false">
      <c r="A155" s="19" t="str">
        <f aca="false">'5 Format Standar'!C155</f>
        <v>P-0153</v>
      </c>
      <c r="B155" s="19" t="str">
        <f aca="false">'5 Format Standar'!A155</f>
        <v>cobas</v>
      </c>
      <c r="C155" s="19" t="str">
        <f aca="false">'5 Format Standar'!M155</f>
        <v>Negatif</v>
      </c>
      <c r="D155" s="25" t="n">
        <f aca="false">'5 Format Standar'!O155</f>
        <v>46305</v>
      </c>
      <c r="E155" s="25"/>
      <c r="F155" s="19" t="str">
        <f aca="false">IF(ISNUMBER(E155),E155-D155,"")</f>
        <v/>
      </c>
      <c r="G155" s="25"/>
      <c r="H155" s="19" t="str">
        <f aca="false">IF(ISNUMBER(G155),G155-D155,"")</f>
        <v/>
      </c>
      <c r="I155" s="19" t="str">
        <f aca="false">IF(OR(C155="Positif 16/18",C155="Positif lain"),IF(AND(ISNUMBER(H155),H155&lt;='Baca Dulu'!$B$16),"Ya","Tidak"),"")</f>
        <v/>
      </c>
      <c r="J155" s="19"/>
      <c r="K155" s="19"/>
      <c r="L155" s="19"/>
      <c r="M155" s="25" t="n">
        <f aca="false">IF(C155="Negatif",DATE(YEAR(D155)+'Baca Dulu'!$B$17,MONTH(D155),DAY(D155)),IF(AND(C155="Positif lain",J155="Negatif"),DATE(YEAR(G155)+'Baca Dulu'!$B$18,MONTH(G155),DAY(G155)),IF(AND(C155="Positif 16/18",J155="Negatif"),DATE(YEAR(G155)+'Baca Dulu'!$B$19,MONTH(G155),DAY(G155)),IF(C155="Invalid","Ambil ulang","Ditentukan bidan"))))</f>
        <v>49958</v>
      </c>
    </row>
    <row r="156" customFormat="false" ht="15" hidden="false" customHeight="true" outlineLevel="0" collapsed="false">
      <c r="A156" s="19" t="str">
        <f aca="false">'5 Format Standar'!C156</f>
        <v>P-0154</v>
      </c>
      <c r="B156" s="19" t="str">
        <f aca="false">'5 Format Standar'!A156</f>
        <v>cobas</v>
      </c>
      <c r="C156" s="19" t="str">
        <f aca="false">'5 Format Standar'!M156</f>
        <v>Negatif</v>
      </c>
      <c r="D156" s="25" t="n">
        <f aca="false">'5 Format Standar'!O156</f>
        <v>46308</v>
      </c>
      <c r="E156" s="25"/>
      <c r="F156" s="19" t="str">
        <f aca="false">IF(ISNUMBER(E156),E156-D156,"")</f>
        <v/>
      </c>
      <c r="G156" s="25"/>
      <c r="H156" s="19" t="str">
        <f aca="false">IF(ISNUMBER(G156),G156-D156,"")</f>
        <v/>
      </c>
      <c r="I156" s="19" t="str">
        <f aca="false">IF(OR(C156="Positif 16/18",C156="Positif lain"),IF(AND(ISNUMBER(H156),H156&lt;='Baca Dulu'!$B$16),"Ya","Tidak"),"")</f>
        <v/>
      </c>
      <c r="J156" s="19"/>
      <c r="K156" s="19"/>
      <c r="L156" s="19"/>
      <c r="M156" s="25" t="n">
        <f aca="false">IF(C156="Negatif",DATE(YEAR(D156)+'Baca Dulu'!$B$17,MONTH(D156),DAY(D156)),IF(AND(C156="Positif lain",J156="Negatif"),DATE(YEAR(G156)+'Baca Dulu'!$B$18,MONTH(G156),DAY(G156)),IF(AND(C156="Positif 16/18",J156="Negatif"),DATE(YEAR(G156)+'Baca Dulu'!$B$19,MONTH(G156),DAY(G156)),IF(C156="Invalid","Ambil ulang","Ditentukan bidan"))))</f>
        <v>49961</v>
      </c>
    </row>
    <row r="157" customFormat="false" ht="15" hidden="false" customHeight="true" outlineLevel="0" collapsed="false">
      <c r="A157" s="19" t="str">
        <f aca="false">'5 Format Standar'!C157</f>
        <v>P-0155</v>
      </c>
      <c r="B157" s="19" t="str">
        <f aca="false">'5 Format Standar'!A157</f>
        <v>cobas</v>
      </c>
      <c r="C157" s="19" t="str">
        <f aca="false">'5 Format Standar'!M157</f>
        <v>Negatif</v>
      </c>
      <c r="D157" s="25" t="n">
        <f aca="false">'5 Format Standar'!O157</f>
        <v>46313</v>
      </c>
      <c r="E157" s="25"/>
      <c r="F157" s="19" t="str">
        <f aca="false">IF(ISNUMBER(E157),E157-D157,"")</f>
        <v/>
      </c>
      <c r="G157" s="25"/>
      <c r="H157" s="19" t="str">
        <f aca="false">IF(ISNUMBER(G157),G157-D157,"")</f>
        <v/>
      </c>
      <c r="I157" s="19" t="str">
        <f aca="false">IF(OR(C157="Positif 16/18",C157="Positif lain"),IF(AND(ISNUMBER(H157),H157&lt;='Baca Dulu'!$B$16),"Ya","Tidak"),"")</f>
        <v/>
      </c>
      <c r="J157" s="19"/>
      <c r="K157" s="19"/>
      <c r="L157" s="19"/>
      <c r="M157" s="25" t="n">
        <f aca="false">IF(C157="Negatif",DATE(YEAR(D157)+'Baca Dulu'!$B$17,MONTH(D157),DAY(D157)),IF(AND(C157="Positif lain",J157="Negatif"),DATE(YEAR(G157)+'Baca Dulu'!$B$18,MONTH(G157),DAY(G157)),IF(AND(C157="Positif 16/18",J157="Negatif"),DATE(YEAR(G157)+'Baca Dulu'!$B$19,MONTH(G157),DAY(G157)),IF(C157="Invalid","Ambil ulang","Ditentukan bidan"))))</f>
        <v>49966</v>
      </c>
    </row>
    <row r="158" customFormat="false" ht="15" hidden="false" customHeight="true" outlineLevel="0" collapsed="false">
      <c r="A158" s="19" t="str">
        <f aca="false">'5 Format Standar'!C158</f>
        <v>P-0156</v>
      </c>
      <c r="B158" s="19" t="str">
        <f aca="false">'5 Format Standar'!A158</f>
        <v>cobas</v>
      </c>
      <c r="C158" s="19" t="str">
        <f aca="false">'5 Format Standar'!M158</f>
        <v>Negatif</v>
      </c>
      <c r="D158" s="25" t="n">
        <f aca="false">'5 Format Standar'!O158</f>
        <v>46313</v>
      </c>
      <c r="E158" s="25"/>
      <c r="F158" s="19" t="str">
        <f aca="false">IF(ISNUMBER(E158),E158-D158,"")</f>
        <v/>
      </c>
      <c r="G158" s="25"/>
      <c r="H158" s="19" t="str">
        <f aca="false">IF(ISNUMBER(G158),G158-D158,"")</f>
        <v/>
      </c>
      <c r="I158" s="19" t="str">
        <f aca="false">IF(OR(C158="Positif 16/18",C158="Positif lain"),IF(AND(ISNUMBER(H158),H158&lt;='Baca Dulu'!$B$16),"Ya","Tidak"),"")</f>
        <v/>
      </c>
      <c r="J158" s="19"/>
      <c r="K158" s="19"/>
      <c r="L158" s="19"/>
      <c r="M158" s="25" t="n">
        <f aca="false">IF(C158="Negatif",DATE(YEAR(D158)+'Baca Dulu'!$B$17,MONTH(D158),DAY(D158)),IF(AND(C158="Positif lain",J158="Negatif"),DATE(YEAR(G158)+'Baca Dulu'!$B$18,MONTH(G158),DAY(G158)),IF(AND(C158="Positif 16/18",J158="Negatif"),DATE(YEAR(G158)+'Baca Dulu'!$B$19,MONTH(G158),DAY(G158)),IF(C158="Invalid","Ambil ulang","Ditentukan bidan"))))</f>
        <v>49966</v>
      </c>
    </row>
    <row r="159" customFormat="false" ht="15" hidden="false" customHeight="true" outlineLevel="0" collapsed="false">
      <c r="A159" s="19" t="str">
        <f aca="false">'5 Format Standar'!C159</f>
        <v>P-0157</v>
      </c>
      <c r="B159" s="19" t="str">
        <f aca="false">'5 Format Standar'!A159</f>
        <v>cobas</v>
      </c>
      <c r="C159" s="19" t="str">
        <f aca="false">'5 Format Standar'!M159</f>
        <v>Negatif</v>
      </c>
      <c r="D159" s="25" t="n">
        <f aca="false">'5 Format Standar'!O159</f>
        <v>46307</v>
      </c>
      <c r="E159" s="25"/>
      <c r="F159" s="19" t="str">
        <f aca="false">IF(ISNUMBER(E159),E159-D159,"")</f>
        <v/>
      </c>
      <c r="G159" s="25"/>
      <c r="H159" s="19" t="str">
        <f aca="false">IF(ISNUMBER(G159),G159-D159,"")</f>
        <v/>
      </c>
      <c r="I159" s="19" t="str">
        <f aca="false">IF(OR(C159="Positif 16/18",C159="Positif lain"),IF(AND(ISNUMBER(H159),H159&lt;='Baca Dulu'!$B$16),"Ya","Tidak"),"")</f>
        <v/>
      </c>
      <c r="J159" s="19"/>
      <c r="K159" s="19"/>
      <c r="L159" s="19"/>
      <c r="M159" s="25" t="n">
        <f aca="false">IF(C159="Negatif",DATE(YEAR(D159)+'Baca Dulu'!$B$17,MONTH(D159),DAY(D159)),IF(AND(C159="Positif lain",J159="Negatif"),DATE(YEAR(G159)+'Baca Dulu'!$B$18,MONTH(G159),DAY(G159)),IF(AND(C159="Positif 16/18",J159="Negatif"),DATE(YEAR(G159)+'Baca Dulu'!$B$19,MONTH(G159),DAY(G159)),IF(C159="Invalid","Ambil ulang","Ditentukan bidan"))))</f>
        <v>49960</v>
      </c>
    </row>
    <row r="160" customFormat="false" ht="15" hidden="false" customHeight="true" outlineLevel="0" collapsed="false">
      <c r="A160" s="19" t="str">
        <f aca="false">'5 Format Standar'!C160</f>
        <v>P-0158</v>
      </c>
      <c r="B160" s="19" t="str">
        <f aca="false">'5 Format Standar'!A160</f>
        <v>cobas</v>
      </c>
      <c r="C160" s="19" t="str">
        <f aca="false">'5 Format Standar'!M160</f>
        <v>Negatif</v>
      </c>
      <c r="D160" s="25" t="n">
        <f aca="false">'5 Format Standar'!O160</f>
        <v>46309</v>
      </c>
      <c r="E160" s="25"/>
      <c r="F160" s="19" t="str">
        <f aca="false">IF(ISNUMBER(E160),E160-D160,"")</f>
        <v/>
      </c>
      <c r="G160" s="25"/>
      <c r="H160" s="19" t="str">
        <f aca="false">IF(ISNUMBER(G160),G160-D160,"")</f>
        <v/>
      </c>
      <c r="I160" s="19" t="str">
        <f aca="false">IF(OR(C160="Positif 16/18",C160="Positif lain"),IF(AND(ISNUMBER(H160),H160&lt;='Baca Dulu'!$B$16),"Ya","Tidak"),"")</f>
        <v/>
      </c>
      <c r="J160" s="19"/>
      <c r="K160" s="19"/>
      <c r="L160" s="19"/>
      <c r="M160" s="25" t="n">
        <f aca="false">IF(C160="Negatif",DATE(YEAR(D160)+'Baca Dulu'!$B$17,MONTH(D160),DAY(D160)),IF(AND(C160="Positif lain",J160="Negatif"),DATE(YEAR(G160)+'Baca Dulu'!$B$18,MONTH(G160),DAY(G160)),IF(AND(C160="Positif 16/18",J160="Negatif"),DATE(YEAR(G160)+'Baca Dulu'!$B$19,MONTH(G160),DAY(G160)),IF(C160="Invalid","Ambil ulang","Ditentukan bidan"))))</f>
        <v>49962</v>
      </c>
    </row>
    <row r="161" customFormat="false" ht="15" hidden="false" customHeight="true" outlineLevel="0" collapsed="false">
      <c r="A161" s="19" t="str">
        <f aca="false">'5 Format Standar'!C161</f>
        <v>P-0159</v>
      </c>
      <c r="B161" s="19" t="str">
        <f aca="false">'5 Format Standar'!A161</f>
        <v>cobas</v>
      </c>
      <c r="C161" s="19" t="str">
        <f aca="false">'5 Format Standar'!M161</f>
        <v>Negatif</v>
      </c>
      <c r="D161" s="25" t="n">
        <f aca="false">'5 Format Standar'!O161</f>
        <v>46305</v>
      </c>
      <c r="E161" s="25"/>
      <c r="F161" s="19" t="str">
        <f aca="false">IF(ISNUMBER(E161),E161-D161,"")</f>
        <v/>
      </c>
      <c r="G161" s="25"/>
      <c r="H161" s="19" t="str">
        <f aca="false">IF(ISNUMBER(G161),G161-D161,"")</f>
        <v/>
      </c>
      <c r="I161" s="19" t="str">
        <f aca="false">IF(OR(C161="Positif 16/18",C161="Positif lain"),IF(AND(ISNUMBER(H161),H161&lt;='Baca Dulu'!$B$16),"Ya","Tidak"),"")</f>
        <v/>
      </c>
      <c r="J161" s="19"/>
      <c r="K161" s="19"/>
      <c r="L161" s="19"/>
      <c r="M161" s="25" t="n">
        <f aca="false">IF(C161="Negatif",DATE(YEAR(D161)+'Baca Dulu'!$B$17,MONTH(D161),DAY(D161)),IF(AND(C161="Positif lain",J161="Negatif"),DATE(YEAR(G161)+'Baca Dulu'!$B$18,MONTH(G161),DAY(G161)),IF(AND(C161="Positif 16/18",J161="Negatif"),DATE(YEAR(G161)+'Baca Dulu'!$B$19,MONTH(G161),DAY(G161)),IF(C161="Invalid","Ambil ulang","Ditentukan bidan"))))</f>
        <v>49958</v>
      </c>
    </row>
    <row r="162" customFormat="false" ht="15" hidden="false" customHeight="true" outlineLevel="0" collapsed="false">
      <c r="A162" s="19" t="str">
        <f aca="false">'5 Format Standar'!C162</f>
        <v>P-0160</v>
      </c>
      <c r="B162" s="19" t="str">
        <f aca="false">'5 Format Standar'!A162</f>
        <v>cobas</v>
      </c>
      <c r="C162" s="19" t="str">
        <f aca="false">'5 Format Standar'!M162</f>
        <v>Negatif</v>
      </c>
      <c r="D162" s="25" t="n">
        <f aca="false">'5 Format Standar'!O162</f>
        <v>46308</v>
      </c>
      <c r="E162" s="25"/>
      <c r="F162" s="19" t="str">
        <f aca="false">IF(ISNUMBER(E162),E162-D162,"")</f>
        <v/>
      </c>
      <c r="G162" s="25"/>
      <c r="H162" s="19" t="str">
        <f aca="false">IF(ISNUMBER(G162),G162-D162,"")</f>
        <v/>
      </c>
      <c r="I162" s="19" t="str">
        <f aca="false">IF(OR(C162="Positif 16/18",C162="Positif lain"),IF(AND(ISNUMBER(H162),H162&lt;='Baca Dulu'!$B$16),"Ya","Tidak"),"")</f>
        <v/>
      </c>
      <c r="J162" s="19"/>
      <c r="K162" s="19"/>
      <c r="L162" s="19"/>
      <c r="M162" s="25" t="n">
        <f aca="false">IF(C162="Negatif",DATE(YEAR(D162)+'Baca Dulu'!$B$17,MONTH(D162),DAY(D162)),IF(AND(C162="Positif lain",J162="Negatif"),DATE(YEAR(G162)+'Baca Dulu'!$B$18,MONTH(G162),DAY(G162)),IF(AND(C162="Positif 16/18",J162="Negatif"),DATE(YEAR(G162)+'Baca Dulu'!$B$19,MONTH(G162),DAY(G162)),IF(C162="Invalid","Ambil ulang","Ditentukan bidan"))))</f>
        <v>49961</v>
      </c>
    </row>
    <row r="163" customFormat="false" ht="15" hidden="false" customHeight="true" outlineLevel="0" collapsed="false">
      <c r="A163" s="19" t="str">
        <f aca="false">'5 Format Standar'!C163</f>
        <v>P-0161</v>
      </c>
      <c r="B163" s="19" t="str">
        <f aca="false">'5 Format Standar'!A163</f>
        <v>cobas</v>
      </c>
      <c r="C163" s="19" t="str">
        <f aca="false">'5 Format Standar'!M163</f>
        <v>Negatif</v>
      </c>
      <c r="D163" s="25" t="n">
        <f aca="false">'5 Format Standar'!O163</f>
        <v>46313</v>
      </c>
      <c r="E163" s="25"/>
      <c r="F163" s="19" t="str">
        <f aca="false">IF(ISNUMBER(E163),E163-D163,"")</f>
        <v/>
      </c>
      <c r="G163" s="25"/>
      <c r="H163" s="19" t="str">
        <f aca="false">IF(ISNUMBER(G163),G163-D163,"")</f>
        <v/>
      </c>
      <c r="I163" s="19" t="str">
        <f aca="false">IF(OR(C163="Positif 16/18",C163="Positif lain"),IF(AND(ISNUMBER(H163),H163&lt;='Baca Dulu'!$B$16),"Ya","Tidak"),"")</f>
        <v/>
      </c>
      <c r="J163" s="19"/>
      <c r="K163" s="19"/>
      <c r="L163" s="19"/>
      <c r="M163" s="25" t="n">
        <f aca="false">IF(C163="Negatif",DATE(YEAR(D163)+'Baca Dulu'!$B$17,MONTH(D163),DAY(D163)),IF(AND(C163="Positif lain",J163="Negatif"),DATE(YEAR(G163)+'Baca Dulu'!$B$18,MONTH(G163),DAY(G163)),IF(AND(C163="Positif 16/18",J163="Negatif"),DATE(YEAR(G163)+'Baca Dulu'!$B$19,MONTH(G163),DAY(G163)),IF(C163="Invalid","Ambil ulang","Ditentukan bidan"))))</f>
        <v>49966</v>
      </c>
    </row>
    <row r="164" customFormat="false" ht="15" hidden="false" customHeight="true" outlineLevel="0" collapsed="false">
      <c r="A164" s="19" t="str">
        <f aca="false">'5 Format Standar'!C164</f>
        <v>P-0162</v>
      </c>
      <c r="B164" s="19" t="str">
        <f aca="false">'5 Format Standar'!A164</f>
        <v>cobas</v>
      </c>
      <c r="C164" s="19" t="str">
        <f aca="false">'5 Format Standar'!M164</f>
        <v>Negatif</v>
      </c>
      <c r="D164" s="25" t="n">
        <f aca="false">'5 Format Standar'!O164</f>
        <v>46314</v>
      </c>
      <c r="E164" s="25"/>
      <c r="F164" s="19" t="str">
        <f aca="false">IF(ISNUMBER(E164),E164-D164,"")</f>
        <v/>
      </c>
      <c r="G164" s="25"/>
      <c r="H164" s="19" t="str">
        <f aca="false">IF(ISNUMBER(G164),G164-D164,"")</f>
        <v/>
      </c>
      <c r="I164" s="19" t="str">
        <f aca="false">IF(OR(C164="Positif 16/18",C164="Positif lain"),IF(AND(ISNUMBER(H164),H164&lt;='Baca Dulu'!$B$16),"Ya","Tidak"),"")</f>
        <v/>
      </c>
      <c r="J164" s="19"/>
      <c r="K164" s="19"/>
      <c r="L164" s="19"/>
      <c r="M164" s="25" t="n">
        <f aca="false">IF(C164="Negatif",DATE(YEAR(D164)+'Baca Dulu'!$B$17,MONTH(D164),DAY(D164)),IF(AND(C164="Positif lain",J164="Negatif"),DATE(YEAR(G164)+'Baca Dulu'!$B$18,MONTH(G164),DAY(G164)),IF(AND(C164="Positif 16/18",J164="Negatif"),DATE(YEAR(G164)+'Baca Dulu'!$B$19,MONTH(G164),DAY(G164)),IF(C164="Invalid","Ambil ulang","Ditentukan bidan"))))</f>
        <v>49967</v>
      </c>
    </row>
    <row r="165" customFormat="false" ht="15" hidden="false" customHeight="true" outlineLevel="0" collapsed="false">
      <c r="A165" s="19" t="str">
        <f aca="false">'5 Format Standar'!C165</f>
        <v>P-0163</v>
      </c>
      <c r="B165" s="19" t="str">
        <f aca="false">'5 Format Standar'!A165</f>
        <v>cobas</v>
      </c>
      <c r="C165" s="19" t="str">
        <f aca="false">'5 Format Standar'!M165</f>
        <v>Negatif</v>
      </c>
      <c r="D165" s="25" t="n">
        <f aca="false">'5 Format Standar'!O165</f>
        <v>46315</v>
      </c>
      <c r="E165" s="25"/>
      <c r="F165" s="19" t="str">
        <f aca="false">IF(ISNUMBER(E165),E165-D165,"")</f>
        <v/>
      </c>
      <c r="G165" s="25"/>
      <c r="H165" s="19" t="str">
        <f aca="false">IF(ISNUMBER(G165),G165-D165,"")</f>
        <v/>
      </c>
      <c r="I165" s="19" t="str">
        <f aca="false">IF(OR(C165="Positif 16/18",C165="Positif lain"),IF(AND(ISNUMBER(H165),H165&lt;='Baca Dulu'!$B$16),"Ya","Tidak"),"")</f>
        <v/>
      </c>
      <c r="J165" s="19"/>
      <c r="K165" s="19"/>
      <c r="L165" s="19"/>
      <c r="M165" s="25" t="n">
        <f aca="false">IF(C165="Negatif",DATE(YEAR(D165)+'Baca Dulu'!$B$17,MONTH(D165),DAY(D165)),IF(AND(C165="Positif lain",J165="Negatif"),DATE(YEAR(G165)+'Baca Dulu'!$B$18,MONTH(G165),DAY(G165)),IF(AND(C165="Positif 16/18",J165="Negatif"),DATE(YEAR(G165)+'Baca Dulu'!$B$19,MONTH(G165),DAY(G165)),IF(C165="Invalid","Ambil ulang","Ditentukan bidan"))))</f>
        <v>49968</v>
      </c>
    </row>
    <row r="166" customFormat="false" ht="15" hidden="false" customHeight="true" outlineLevel="0" collapsed="false">
      <c r="A166" s="19" t="str">
        <f aca="false">'5 Format Standar'!C166</f>
        <v>P-0164</v>
      </c>
      <c r="B166" s="19" t="str">
        <f aca="false">'5 Format Standar'!A166</f>
        <v>cobas</v>
      </c>
      <c r="C166" s="19" t="str">
        <f aca="false">'5 Format Standar'!M166</f>
        <v>Negatif</v>
      </c>
      <c r="D166" s="25" t="n">
        <f aca="false">'5 Format Standar'!O166</f>
        <v>46305</v>
      </c>
      <c r="E166" s="25"/>
      <c r="F166" s="19" t="str">
        <f aca="false">IF(ISNUMBER(E166),E166-D166,"")</f>
        <v/>
      </c>
      <c r="G166" s="25"/>
      <c r="H166" s="19" t="str">
        <f aca="false">IF(ISNUMBER(G166),G166-D166,"")</f>
        <v/>
      </c>
      <c r="I166" s="19" t="str">
        <f aca="false">IF(OR(C166="Positif 16/18",C166="Positif lain"),IF(AND(ISNUMBER(H166),H166&lt;='Baca Dulu'!$B$16),"Ya","Tidak"),"")</f>
        <v/>
      </c>
      <c r="J166" s="19"/>
      <c r="K166" s="19"/>
      <c r="L166" s="19"/>
      <c r="M166" s="25" t="n">
        <f aca="false">IF(C166="Negatif",DATE(YEAR(D166)+'Baca Dulu'!$B$17,MONTH(D166),DAY(D166)),IF(AND(C166="Positif lain",J166="Negatif"),DATE(YEAR(G166)+'Baca Dulu'!$B$18,MONTH(G166),DAY(G166)),IF(AND(C166="Positif 16/18",J166="Negatif"),DATE(YEAR(G166)+'Baca Dulu'!$B$19,MONTH(G166),DAY(G166)),IF(C166="Invalid","Ambil ulang","Ditentukan bidan"))))</f>
        <v>49958</v>
      </c>
    </row>
    <row r="167" customFormat="false" ht="15" hidden="false" customHeight="true" outlineLevel="0" collapsed="false">
      <c r="A167" s="19" t="str">
        <f aca="false">'5 Format Standar'!C167</f>
        <v>P-0165</v>
      </c>
      <c r="B167" s="19" t="str">
        <f aca="false">'5 Format Standar'!A167</f>
        <v>cobas</v>
      </c>
      <c r="C167" s="19" t="str">
        <f aca="false">'5 Format Standar'!M167</f>
        <v>Negatif</v>
      </c>
      <c r="D167" s="25" t="n">
        <f aca="false">'5 Format Standar'!O167</f>
        <v>46307</v>
      </c>
      <c r="E167" s="25"/>
      <c r="F167" s="19" t="str">
        <f aca="false">IF(ISNUMBER(E167),E167-D167,"")</f>
        <v/>
      </c>
      <c r="G167" s="25"/>
      <c r="H167" s="19" t="str">
        <f aca="false">IF(ISNUMBER(G167),G167-D167,"")</f>
        <v/>
      </c>
      <c r="I167" s="19" t="str">
        <f aca="false">IF(OR(C167="Positif 16/18",C167="Positif lain"),IF(AND(ISNUMBER(H167),H167&lt;='Baca Dulu'!$B$16),"Ya","Tidak"),"")</f>
        <v/>
      </c>
      <c r="J167" s="19"/>
      <c r="K167" s="19"/>
      <c r="L167" s="19"/>
      <c r="M167" s="25" t="n">
        <f aca="false">IF(C167="Negatif",DATE(YEAR(D167)+'Baca Dulu'!$B$17,MONTH(D167),DAY(D167)),IF(AND(C167="Positif lain",J167="Negatif"),DATE(YEAR(G167)+'Baca Dulu'!$B$18,MONTH(G167),DAY(G167)),IF(AND(C167="Positif 16/18",J167="Negatif"),DATE(YEAR(G167)+'Baca Dulu'!$B$19,MONTH(G167),DAY(G167)),IF(C167="Invalid","Ambil ulang","Ditentukan bidan"))))</f>
        <v>49960</v>
      </c>
    </row>
    <row r="168" customFormat="false" ht="15" hidden="false" customHeight="true" outlineLevel="0" collapsed="false">
      <c r="A168" s="19" t="str">
        <f aca="false">'5 Format Standar'!C168</f>
        <v>P-0166</v>
      </c>
      <c r="B168" s="19" t="str">
        <f aca="false">'5 Format Standar'!A168</f>
        <v>cobas</v>
      </c>
      <c r="C168" s="19" t="str">
        <f aca="false">'5 Format Standar'!M168</f>
        <v>Positif 16/18</v>
      </c>
      <c r="D168" s="25" t="n">
        <f aca="false">'5 Format Standar'!O168</f>
        <v>46313</v>
      </c>
      <c r="E168" s="20" t="n">
        <f aca="false">D168+2</f>
        <v>46315</v>
      </c>
      <c r="F168" s="19" t="n">
        <f aca="false">IF(ISNUMBER(E168),E168-D168,"")</f>
        <v>2</v>
      </c>
      <c r="G168" s="20" t="n">
        <f aca="false">D168+55</f>
        <v>46368</v>
      </c>
      <c r="H168" s="19" t="n">
        <f aca="false">IF(ISNUMBER(G168),G168-D168,"")</f>
        <v>55</v>
      </c>
      <c r="I168" s="19" t="str">
        <f aca="false">IF(OR(C168="Positif 16/18",C168="Positif lain"),IF(AND(ISNUMBER(H168),H168&lt;='Baca Dulu'!$B$16),"Ya","Tidak"),"")</f>
        <v>Ya</v>
      </c>
      <c r="J168" s="17" t="s">
        <v>783</v>
      </c>
      <c r="K168" s="17" t="s">
        <v>784</v>
      </c>
      <c r="L168" s="17" t="s">
        <v>785</v>
      </c>
      <c r="M168" s="25" t="str">
        <f aca="false">IF(C168="Negatif",DATE(YEAR(D168)+'Baca Dulu'!$B$17,MONTH(D168),DAY(D168)),IF(AND(C168="Positif lain",J168="Negatif"),DATE(YEAR(G168)+'Baca Dulu'!$B$18,MONTH(G168),DAY(G168)),IF(AND(C168="Positif 16/18",J168="Negatif"),DATE(YEAR(G168)+'Baca Dulu'!$B$19,MONTH(G168),DAY(G168)),IF(C168="Invalid","Ambil ulang","Ditentukan bidan"))))</f>
        <v>Ditentukan bidan</v>
      </c>
    </row>
    <row r="169" customFormat="false" ht="15" hidden="false" customHeight="true" outlineLevel="0" collapsed="false">
      <c r="A169" s="19" t="str">
        <f aca="false">'5 Format Standar'!C169</f>
        <v>P-0167</v>
      </c>
      <c r="B169" s="19" t="str">
        <f aca="false">'5 Format Standar'!A169</f>
        <v>cobas</v>
      </c>
      <c r="C169" s="19" t="str">
        <f aca="false">'5 Format Standar'!M169</f>
        <v>Negatif</v>
      </c>
      <c r="D169" s="25" t="n">
        <f aca="false">'5 Format Standar'!O169</f>
        <v>46310</v>
      </c>
      <c r="E169" s="25"/>
      <c r="F169" s="19" t="str">
        <f aca="false">IF(ISNUMBER(E169),E169-D169,"")</f>
        <v/>
      </c>
      <c r="G169" s="25"/>
      <c r="H169" s="19" t="str">
        <f aca="false">IF(ISNUMBER(G169),G169-D169,"")</f>
        <v/>
      </c>
      <c r="I169" s="19" t="str">
        <f aca="false">IF(OR(C169="Positif 16/18",C169="Positif lain"),IF(AND(ISNUMBER(H169),H169&lt;='Baca Dulu'!$B$16),"Ya","Tidak"),"")</f>
        <v/>
      </c>
      <c r="J169" s="19"/>
      <c r="K169" s="19"/>
      <c r="L169" s="19"/>
      <c r="M169" s="25" t="n">
        <f aca="false">IF(C169="Negatif",DATE(YEAR(D169)+'Baca Dulu'!$B$17,MONTH(D169),DAY(D169)),IF(AND(C169="Positif lain",J169="Negatif"),DATE(YEAR(G169)+'Baca Dulu'!$B$18,MONTH(G169),DAY(G169)),IF(AND(C169="Positif 16/18",J169="Negatif"),DATE(YEAR(G169)+'Baca Dulu'!$B$19,MONTH(G169),DAY(G169)),IF(C169="Invalid","Ambil ulang","Ditentukan bidan"))))</f>
        <v>49963</v>
      </c>
    </row>
    <row r="170" customFormat="false" ht="15" hidden="false" customHeight="true" outlineLevel="0" collapsed="false">
      <c r="A170" s="19" t="str">
        <f aca="false">'5 Format Standar'!C170</f>
        <v>P-0168</v>
      </c>
      <c r="B170" s="19" t="str">
        <f aca="false">'5 Format Standar'!A170</f>
        <v>cobas</v>
      </c>
      <c r="C170" s="19" t="str">
        <f aca="false">'5 Format Standar'!M170</f>
        <v>Positif lain</v>
      </c>
      <c r="D170" s="25" t="n">
        <f aca="false">'5 Format Standar'!O170</f>
        <v>46308</v>
      </c>
      <c r="E170" s="20" t="n">
        <f aca="false">D170+4</f>
        <v>46312</v>
      </c>
      <c r="F170" s="19" t="n">
        <f aca="false">IF(ISNUMBER(E170),E170-D170,"")</f>
        <v>4</v>
      </c>
      <c r="G170" s="20" t="n">
        <f aca="false">D170+72</f>
        <v>46380</v>
      </c>
      <c r="H170" s="19" t="n">
        <f aca="false">IF(ISNUMBER(G170),G170-D170,"")</f>
        <v>72</v>
      </c>
      <c r="I170" s="19" t="str">
        <f aca="false">IF(OR(C170="Positif 16/18",C170="Positif lain"),IF(AND(ISNUMBER(H170),H170&lt;='Baca Dulu'!$B$16),"Ya","Tidak"),"")</f>
        <v>Tidak</v>
      </c>
      <c r="J170" s="17" t="s">
        <v>263</v>
      </c>
      <c r="K170" s="17" t="s">
        <v>779</v>
      </c>
      <c r="L170" s="17" t="s">
        <v>780</v>
      </c>
      <c r="M170" s="25" t="n">
        <f aca="false">IF(C170="Negatif",DATE(YEAR(D170)+'Baca Dulu'!$B$17,MONTH(D170),DAY(D170)),IF(AND(C170="Positif lain",J170="Negatif"),DATE(YEAR(G170)+'Baca Dulu'!$B$18,MONTH(G170),DAY(G170)),IF(AND(C170="Positif 16/18",J170="Negatif"),DATE(YEAR(G170)+'Baca Dulu'!$B$19,MONTH(G170),DAY(G170)),IF(C170="Invalid","Ambil ulang","Ditentukan bidan"))))</f>
        <v>47476</v>
      </c>
    </row>
    <row r="171" customFormat="false" ht="15" hidden="false" customHeight="true" outlineLevel="0" collapsed="false">
      <c r="A171" s="19" t="str">
        <f aca="false">'5 Format Standar'!C171</f>
        <v>P-0169</v>
      </c>
      <c r="B171" s="19" t="str">
        <f aca="false">'5 Format Standar'!A171</f>
        <v>cobas</v>
      </c>
      <c r="C171" s="19" t="str">
        <f aca="false">'5 Format Standar'!M171</f>
        <v>Negatif</v>
      </c>
      <c r="D171" s="25" t="n">
        <f aca="false">'5 Format Standar'!O171</f>
        <v>46304</v>
      </c>
      <c r="E171" s="25"/>
      <c r="F171" s="19" t="str">
        <f aca="false">IF(ISNUMBER(E171),E171-D171,"")</f>
        <v/>
      </c>
      <c r="G171" s="25"/>
      <c r="H171" s="19" t="str">
        <f aca="false">IF(ISNUMBER(G171),G171-D171,"")</f>
        <v/>
      </c>
      <c r="I171" s="19" t="str">
        <f aca="false">IF(OR(C171="Positif 16/18",C171="Positif lain"),IF(AND(ISNUMBER(H171),H171&lt;='Baca Dulu'!$B$16),"Ya","Tidak"),"")</f>
        <v/>
      </c>
      <c r="J171" s="19"/>
      <c r="K171" s="19"/>
      <c r="L171" s="19"/>
      <c r="M171" s="25" t="n">
        <f aca="false">IF(C171="Negatif",DATE(YEAR(D171)+'Baca Dulu'!$B$17,MONTH(D171),DAY(D171)),IF(AND(C171="Positif lain",J171="Negatif"),DATE(YEAR(G171)+'Baca Dulu'!$B$18,MONTH(G171),DAY(G171)),IF(AND(C171="Positif 16/18",J171="Negatif"),DATE(YEAR(G171)+'Baca Dulu'!$B$19,MONTH(G171),DAY(G171)),IF(C171="Invalid","Ambil ulang","Ditentukan bidan"))))</f>
        <v>49957</v>
      </c>
    </row>
    <row r="172" customFormat="false" ht="15" hidden="false" customHeight="true" outlineLevel="0" collapsed="false">
      <c r="A172" s="19" t="str">
        <f aca="false">'5 Format Standar'!C172</f>
        <v>P-0170</v>
      </c>
      <c r="B172" s="19" t="str">
        <f aca="false">'5 Format Standar'!A172</f>
        <v>cobas</v>
      </c>
      <c r="C172" s="19" t="str">
        <f aca="false">'5 Format Standar'!M172</f>
        <v>Negatif</v>
      </c>
      <c r="D172" s="25" t="n">
        <f aca="false">'5 Format Standar'!O172</f>
        <v>46314</v>
      </c>
      <c r="E172" s="25"/>
      <c r="F172" s="19" t="str">
        <f aca="false">IF(ISNUMBER(E172),E172-D172,"")</f>
        <v/>
      </c>
      <c r="G172" s="25"/>
      <c r="H172" s="19" t="str">
        <f aca="false">IF(ISNUMBER(G172),G172-D172,"")</f>
        <v/>
      </c>
      <c r="I172" s="19" t="str">
        <f aca="false">IF(OR(C172="Positif 16/18",C172="Positif lain"),IF(AND(ISNUMBER(H172),H172&lt;='Baca Dulu'!$B$16),"Ya","Tidak"),"")</f>
        <v/>
      </c>
      <c r="J172" s="19"/>
      <c r="K172" s="19"/>
      <c r="L172" s="19"/>
      <c r="M172" s="25" t="n">
        <f aca="false">IF(C172="Negatif",DATE(YEAR(D172)+'Baca Dulu'!$B$17,MONTH(D172),DAY(D172)),IF(AND(C172="Positif lain",J172="Negatif"),DATE(YEAR(G172)+'Baca Dulu'!$B$18,MONTH(G172),DAY(G172)),IF(AND(C172="Positif 16/18",J172="Negatif"),DATE(YEAR(G172)+'Baca Dulu'!$B$19,MONTH(G172),DAY(G172)),IF(C172="Invalid","Ambil ulang","Ditentukan bidan"))))</f>
        <v>49967</v>
      </c>
    </row>
    <row r="173" customFormat="false" ht="15" hidden="false" customHeight="true" outlineLevel="0" collapsed="false">
      <c r="A173" s="19" t="str">
        <f aca="false">'5 Format Standar'!C173</f>
        <v>P-0171</v>
      </c>
      <c r="B173" s="19" t="str">
        <f aca="false">'5 Format Standar'!A173</f>
        <v>cobas</v>
      </c>
      <c r="C173" s="19" t="str">
        <f aca="false">'5 Format Standar'!M173</f>
        <v>Positif lain</v>
      </c>
      <c r="D173" s="25" t="n">
        <f aca="false">'5 Format Standar'!O173</f>
        <v>46307</v>
      </c>
      <c r="E173" s="20" t="n">
        <f aca="false">D173+1</f>
        <v>46308</v>
      </c>
      <c r="F173" s="19" t="n">
        <f aca="false">IF(ISNUMBER(E173),E173-D173,"")</f>
        <v>1</v>
      </c>
      <c r="G173" s="20" t="n">
        <f aca="false">D173+20</f>
        <v>46327</v>
      </c>
      <c r="H173" s="19" t="n">
        <f aca="false">IF(ISNUMBER(G173),G173-D173,"")</f>
        <v>20</v>
      </c>
      <c r="I173" s="19" t="str">
        <f aca="false">IF(OR(C173="Positif 16/18",C173="Positif lain"),IF(AND(ISNUMBER(H173),H173&lt;='Baca Dulu'!$B$16),"Ya","Tidak"),"")</f>
        <v>Ya</v>
      </c>
      <c r="J173" s="17" t="s">
        <v>781</v>
      </c>
      <c r="K173" s="17" t="s">
        <v>786</v>
      </c>
      <c r="L173" s="17" t="s">
        <v>780</v>
      </c>
      <c r="M173" s="25" t="str">
        <f aca="false">IF(C173="Negatif",DATE(YEAR(D173)+'Baca Dulu'!$B$17,MONTH(D173),DAY(D173)),IF(AND(C173="Positif lain",J173="Negatif"),DATE(YEAR(G173)+'Baca Dulu'!$B$18,MONTH(G173),DAY(G173)),IF(AND(C173="Positif 16/18",J173="Negatif"),DATE(YEAR(G173)+'Baca Dulu'!$B$19,MONTH(G173),DAY(G173)),IF(C173="Invalid","Ambil ulang","Ditentukan bidan"))))</f>
        <v>Ditentukan bidan</v>
      </c>
    </row>
    <row r="174" customFormat="false" ht="15" hidden="false" customHeight="true" outlineLevel="0" collapsed="false">
      <c r="A174" s="19" t="str">
        <f aca="false">'5 Format Standar'!C174</f>
        <v>P-0172</v>
      </c>
      <c r="B174" s="19" t="str">
        <f aca="false">'5 Format Standar'!A174</f>
        <v>cobas</v>
      </c>
      <c r="C174" s="19" t="str">
        <f aca="false">'5 Format Standar'!M174</f>
        <v>Invalid</v>
      </c>
      <c r="D174" s="25" t="n">
        <f aca="false">'5 Format Standar'!O174</f>
        <v>46308</v>
      </c>
      <c r="E174" s="25"/>
      <c r="F174" s="19" t="str">
        <f aca="false">IF(ISNUMBER(E174),E174-D174,"")</f>
        <v/>
      </c>
      <c r="G174" s="25"/>
      <c r="H174" s="19" t="str">
        <f aca="false">IF(ISNUMBER(G174),G174-D174,"")</f>
        <v/>
      </c>
      <c r="I174" s="19" t="str">
        <f aca="false">IF(OR(C174="Positif 16/18",C174="Positif lain"),IF(AND(ISNUMBER(H174),H174&lt;='Baca Dulu'!$B$16),"Ya","Tidak"),"")</f>
        <v/>
      </c>
      <c r="J174" s="19"/>
      <c r="K174" s="19"/>
      <c r="L174" s="19"/>
      <c r="M174" s="25" t="str">
        <f aca="false">IF(C174="Negatif",DATE(YEAR(D174)+'Baca Dulu'!$B$17,MONTH(D174),DAY(D174)),IF(AND(C174="Positif lain",J174="Negatif"),DATE(YEAR(G174)+'Baca Dulu'!$B$18,MONTH(G174),DAY(G174)),IF(AND(C174="Positif 16/18",J174="Negatif"),DATE(YEAR(G174)+'Baca Dulu'!$B$19,MONTH(G174),DAY(G174)),IF(C174="Invalid","Ambil ulang","Ditentukan bidan"))))</f>
        <v>Ambil ulang</v>
      </c>
    </row>
    <row r="175" customFormat="false" ht="15" hidden="false" customHeight="true" outlineLevel="0" collapsed="false">
      <c r="A175" s="19" t="str">
        <f aca="false">'5 Format Standar'!C175</f>
        <v>P-0173</v>
      </c>
      <c r="B175" s="19" t="str">
        <f aca="false">'5 Format Standar'!A175</f>
        <v>cobas</v>
      </c>
      <c r="C175" s="19" t="str">
        <f aca="false">'5 Format Standar'!M175</f>
        <v>Negatif</v>
      </c>
      <c r="D175" s="25" t="n">
        <f aca="false">'5 Format Standar'!O175</f>
        <v>46304</v>
      </c>
      <c r="E175" s="25"/>
      <c r="F175" s="19" t="str">
        <f aca="false">IF(ISNUMBER(E175),E175-D175,"")</f>
        <v/>
      </c>
      <c r="G175" s="25"/>
      <c r="H175" s="19" t="str">
        <f aca="false">IF(ISNUMBER(G175),G175-D175,"")</f>
        <v/>
      </c>
      <c r="I175" s="19" t="str">
        <f aca="false">IF(OR(C175="Positif 16/18",C175="Positif lain"),IF(AND(ISNUMBER(H175),H175&lt;='Baca Dulu'!$B$16),"Ya","Tidak"),"")</f>
        <v/>
      </c>
      <c r="J175" s="19"/>
      <c r="K175" s="19"/>
      <c r="L175" s="19"/>
      <c r="M175" s="25" t="n">
        <f aca="false">IF(C175="Negatif",DATE(YEAR(D175)+'Baca Dulu'!$B$17,MONTH(D175),DAY(D175)),IF(AND(C175="Positif lain",J175="Negatif"),DATE(YEAR(G175)+'Baca Dulu'!$B$18,MONTH(G175),DAY(G175)),IF(AND(C175="Positif 16/18",J175="Negatif"),DATE(YEAR(G175)+'Baca Dulu'!$B$19,MONTH(G175),DAY(G175)),IF(C175="Invalid","Ambil ulang","Ditentukan bidan"))))</f>
        <v>49957</v>
      </c>
    </row>
    <row r="176" customFormat="false" ht="15" hidden="false" customHeight="true" outlineLevel="0" collapsed="false">
      <c r="A176" s="19" t="str">
        <f aca="false">'5 Format Standar'!C176</f>
        <v>P-0174</v>
      </c>
      <c r="B176" s="19" t="str">
        <f aca="false">'5 Format Standar'!A176</f>
        <v>cobas</v>
      </c>
      <c r="C176" s="19" t="str">
        <f aca="false">'5 Format Standar'!M176</f>
        <v>Positif lain</v>
      </c>
      <c r="D176" s="25" t="n">
        <f aca="false">'5 Format Standar'!O176</f>
        <v>46309</v>
      </c>
      <c r="E176" s="20" t="n">
        <f aca="false">D176+2</f>
        <v>46311</v>
      </c>
      <c r="F176" s="19" t="n">
        <f aca="false">IF(ISNUMBER(E176),E176-D176,"")</f>
        <v>2</v>
      </c>
      <c r="G176" s="20" t="n">
        <f aca="false">D176+28</f>
        <v>46337</v>
      </c>
      <c r="H176" s="19" t="n">
        <f aca="false">IF(ISNUMBER(G176),G176-D176,"")</f>
        <v>28</v>
      </c>
      <c r="I176" s="19" t="str">
        <f aca="false">IF(OR(C176="Positif 16/18",C176="Positif lain"),IF(AND(ISNUMBER(H176),H176&lt;='Baca Dulu'!$B$16),"Ya","Tidak"),"")</f>
        <v>Ya</v>
      </c>
      <c r="J176" s="17" t="s">
        <v>263</v>
      </c>
      <c r="K176" s="17" t="s">
        <v>779</v>
      </c>
      <c r="L176" s="17" t="s">
        <v>780</v>
      </c>
      <c r="M176" s="25" t="n">
        <f aca="false">IF(C176="Negatif",DATE(YEAR(D176)+'Baca Dulu'!$B$17,MONTH(D176),DAY(D176)),IF(AND(C176="Positif lain",J176="Negatif"),DATE(YEAR(G176)+'Baca Dulu'!$B$18,MONTH(G176),DAY(G176)),IF(AND(C176="Positif 16/18",J176="Negatif"),DATE(YEAR(G176)+'Baca Dulu'!$B$19,MONTH(G176),DAY(G176)),IF(C176="Invalid","Ambil ulang","Ditentukan bidan"))))</f>
        <v>47433</v>
      </c>
    </row>
    <row r="177" customFormat="false" ht="15" hidden="false" customHeight="true" outlineLevel="0" collapsed="false">
      <c r="A177" s="19" t="str">
        <f aca="false">'5 Format Standar'!C177</f>
        <v>P-0175</v>
      </c>
      <c r="B177" s="19" t="str">
        <f aca="false">'5 Format Standar'!A177</f>
        <v>cobas</v>
      </c>
      <c r="C177" s="19" t="str">
        <f aca="false">'5 Format Standar'!M177</f>
        <v>Negatif</v>
      </c>
      <c r="D177" s="25" t="n">
        <f aca="false">'5 Format Standar'!O177</f>
        <v>46313</v>
      </c>
      <c r="E177" s="25"/>
      <c r="F177" s="19" t="str">
        <f aca="false">IF(ISNUMBER(E177),E177-D177,"")</f>
        <v/>
      </c>
      <c r="G177" s="25"/>
      <c r="H177" s="19" t="str">
        <f aca="false">IF(ISNUMBER(G177),G177-D177,"")</f>
        <v/>
      </c>
      <c r="I177" s="19" t="str">
        <f aca="false">IF(OR(C177="Positif 16/18",C177="Positif lain"),IF(AND(ISNUMBER(H177),H177&lt;='Baca Dulu'!$B$16),"Ya","Tidak"),"")</f>
        <v/>
      </c>
      <c r="J177" s="19"/>
      <c r="K177" s="19"/>
      <c r="L177" s="19"/>
      <c r="M177" s="25" t="n">
        <f aca="false">IF(C177="Negatif",DATE(YEAR(D177)+'Baca Dulu'!$B$17,MONTH(D177),DAY(D177)),IF(AND(C177="Positif lain",J177="Negatif"),DATE(YEAR(G177)+'Baca Dulu'!$B$18,MONTH(G177),DAY(G177)),IF(AND(C177="Positif 16/18",J177="Negatif"),DATE(YEAR(G177)+'Baca Dulu'!$B$19,MONTH(G177),DAY(G177)),IF(C177="Invalid","Ambil ulang","Ditentukan bidan"))))</f>
        <v>49966</v>
      </c>
    </row>
    <row r="178" customFormat="false" ht="15" hidden="false" customHeight="true" outlineLevel="0" collapsed="false">
      <c r="A178" s="19" t="str">
        <f aca="false">'5 Format Standar'!C178</f>
        <v>P-0176</v>
      </c>
      <c r="B178" s="19" t="str">
        <f aca="false">'5 Format Standar'!A178</f>
        <v>cobas</v>
      </c>
      <c r="C178" s="19" t="str">
        <f aca="false">'5 Format Standar'!M178</f>
        <v>Positif 16/18</v>
      </c>
      <c r="D178" s="25" t="n">
        <f aca="false">'5 Format Standar'!O178</f>
        <v>46308</v>
      </c>
      <c r="E178" s="20" t="n">
        <f aca="false">D178+3</f>
        <v>46311</v>
      </c>
      <c r="F178" s="19" t="n">
        <f aca="false">IF(ISNUMBER(E178),E178-D178,"")</f>
        <v>3</v>
      </c>
      <c r="G178" s="20"/>
      <c r="H178" s="19" t="str">
        <f aca="false">IF(ISNUMBER(G178),G178-D178,"")</f>
        <v/>
      </c>
      <c r="I178" s="19" t="str">
        <f aca="false">IF(OR(C178="Positif 16/18",C178="Positif lain"),IF(AND(ISNUMBER(H178),H178&lt;='Baca Dulu'!$B$16),"Ya","Tidak"),"")</f>
        <v>Tidak</v>
      </c>
      <c r="J178" s="17"/>
      <c r="K178" s="17"/>
      <c r="L178" s="17"/>
      <c r="M178" s="25" t="str">
        <f aca="false">IF(C178="Negatif",DATE(YEAR(D178)+'Baca Dulu'!$B$17,MONTH(D178),DAY(D178)),IF(AND(C178="Positif lain",J178="Negatif"),DATE(YEAR(G178)+'Baca Dulu'!$B$18,MONTH(G178),DAY(G178)),IF(AND(C178="Positif 16/18",J178="Negatif"),DATE(YEAR(G178)+'Baca Dulu'!$B$19,MONTH(G178),DAY(G178)),IF(C178="Invalid","Ambil ulang","Ditentukan bidan"))))</f>
        <v>Ditentukan bidan</v>
      </c>
    </row>
    <row r="179" customFormat="false" ht="15" hidden="false" customHeight="true" outlineLevel="0" collapsed="false">
      <c r="A179" s="19" t="str">
        <f aca="false">'5 Format Standar'!C179</f>
        <v>P-0177</v>
      </c>
      <c r="B179" s="19" t="str">
        <f aca="false">'5 Format Standar'!A179</f>
        <v>cobas</v>
      </c>
      <c r="C179" s="19" t="str">
        <f aca="false">'5 Format Standar'!M179</f>
        <v>Positif lain</v>
      </c>
      <c r="D179" s="25" t="n">
        <f aca="false">'5 Format Standar'!O179</f>
        <v>46308</v>
      </c>
      <c r="E179" s="20" t="n">
        <f aca="false">D179+2</f>
        <v>46310</v>
      </c>
      <c r="F179" s="19" t="n">
        <f aca="false">IF(ISNUMBER(E179),E179-D179,"")</f>
        <v>2</v>
      </c>
      <c r="G179" s="20" t="n">
        <f aca="false">D179+47</f>
        <v>46355</v>
      </c>
      <c r="H179" s="19" t="n">
        <f aca="false">IF(ISNUMBER(G179),G179-D179,"")</f>
        <v>47</v>
      </c>
      <c r="I179" s="19" t="str">
        <f aca="false">IF(OR(C179="Positif 16/18",C179="Positif lain"),IF(AND(ISNUMBER(H179),H179&lt;='Baca Dulu'!$B$16),"Ya","Tidak"),"")</f>
        <v>Ya</v>
      </c>
      <c r="J179" s="17" t="s">
        <v>263</v>
      </c>
      <c r="K179" s="17" t="s">
        <v>779</v>
      </c>
      <c r="L179" s="17" t="s">
        <v>780</v>
      </c>
      <c r="M179" s="25" t="n">
        <f aca="false">IF(C179="Negatif",DATE(YEAR(D179)+'Baca Dulu'!$B$17,MONTH(D179),DAY(D179)),IF(AND(C179="Positif lain",J179="Negatif"),DATE(YEAR(G179)+'Baca Dulu'!$B$18,MONTH(G179),DAY(G179)),IF(AND(C179="Positif 16/18",J179="Negatif"),DATE(YEAR(G179)+'Baca Dulu'!$B$19,MONTH(G179),DAY(G179)),IF(C179="Invalid","Ambil ulang","Ditentukan bidan"))))</f>
        <v>47451</v>
      </c>
    </row>
    <row r="180" customFormat="false" ht="15" hidden="false" customHeight="true" outlineLevel="0" collapsed="false">
      <c r="A180" s="19" t="str">
        <f aca="false">'5 Format Standar'!C180</f>
        <v>P-0178</v>
      </c>
      <c r="B180" s="19" t="str">
        <f aca="false">'5 Format Standar'!A180</f>
        <v>cobas</v>
      </c>
      <c r="C180" s="19" t="str">
        <f aca="false">'5 Format Standar'!M180</f>
        <v>Negatif</v>
      </c>
      <c r="D180" s="25" t="n">
        <f aca="false">'5 Format Standar'!O180</f>
        <v>46304</v>
      </c>
      <c r="E180" s="25"/>
      <c r="F180" s="19" t="str">
        <f aca="false">IF(ISNUMBER(E180),E180-D180,"")</f>
        <v/>
      </c>
      <c r="G180" s="25"/>
      <c r="H180" s="19" t="str">
        <f aca="false">IF(ISNUMBER(G180),G180-D180,"")</f>
        <v/>
      </c>
      <c r="I180" s="19" t="str">
        <f aca="false">IF(OR(C180="Positif 16/18",C180="Positif lain"),IF(AND(ISNUMBER(H180),H180&lt;='Baca Dulu'!$B$16),"Ya","Tidak"),"")</f>
        <v/>
      </c>
      <c r="J180" s="19"/>
      <c r="K180" s="19"/>
      <c r="L180" s="19"/>
      <c r="M180" s="25" t="n">
        <f aca="false">IF(C180="Negatif",DATE(YEAR(D180)+'Baca Dulu'!$B$17,MONTH(D180),DAY(D180)),IF(AND(C180="Positif lain",J180="Negatif"),DATE(YEAR(G180)+'Baca Dulu'!$B$18,MONTH(G180),DAY(G180)),IF(AND(C180="Positif 16/18",J180="Negatif"),DATE(YEAR(G180)+'Baca Dulu'!$B$19,MONTH(G180),DAY(G180)),IF(C180="Invalid","Ambil ulang","Ditentukan bidan"))))</f>
        <v>49957</v>
      </c>
    </row>
    <row r="181" customFormat="false" ht="15" hidden="false" customHeight="true" outlineLevel="0" collapsed="false">
      <c r="A181" s="19" t="str">
        <f aca="false">'5 Format Standar'!C181</f>
        <v>P-0179</v>
      </c>
      <c r="B181" s="19" t="str">
        <f aca="false">'5 Format Standar'!A181</f>
        <v>cobas</v>
      </c>
      <c r="C181" s="19" t="str">
        <f aca="false">'5 Format Standar'!M181</f>
        <v>Negatif</v>
      </c>
      <c r="D181" s="25" t="n">
        <f aca="false">'5 Format Standar'!O181</f>
        <v>46307</v>
      </c>
      <c r="E181" s="25"/>
      <c r="F181" s="19" t="str">
        <f aca="false">IF(ISNUMBER(E181),E181-D181,"")</f>
        <v/>
      </c>
      <c r="G181" s="25"/>
      <c r="H181" s="19" t="str">
        <f aca="false">IF(ISNUMBER(G181),G181-D181,"")</f>
        <v/>
      </c>
      <c r="I181" s="19" t="str">
        <f aca="false">IF(OR(C181="Positif 16/18",C181="Positif lain"),IF(AND(ISNUMBER(H181),H181&lt;='Baca Dulu'!$B$16),"Ya","Tidak"),"")</f>
        <v/>
      </c>
      <c r="J181" s="19"/>
      <c r="K181" s="19"/>
      <c r="L181" s="19"/>
      <c r="M181" s="25" t="n">
        <f aca="false">IF(C181="Negatif",DATE(YEAR(D181)+'Baca Dulu'!$B$17,MONTH(D181),DAY(D181)),IF(AND(C181="Positif lain",J181="Negatif"),DATE(YEAR(G181)+'Baca Dulu'!$B$18,MONTH(G181),DAY(G181)),IF(AND(C181="Positif 16/18",J181="Negatif"),DATE(YEAR(G181)+'Baca Dulu'!$B$19,MONTH(G181),DAY(G181)),IF(C181="Invalid","Ambil ulang","Ditentukan bidan"))))</f>
        <v>49960</v>
      </c>
    </row>
    <row r="182" customFormat="false" ht="15" hidden="false" customHeight="true" outlineLevel="0" collapsed="false">
      <c r="A182" s="19" t="str">
        <f aca="false">'5 Format Standar'!C182</f>
        <v>P-0180</v>
      </c>
      <c r="B182" s="19" t="str">
        <f aca="false">'5 Format Standar'!A182</f>
        <v>cobas</v>
      </c>
      <c r="C182" s="19" t="str">
        <f aca="false">'5 Format Standar'!M182</f>
        <v>Negatif</v>
      </c>
      <c r="D182" s="25" t="n">
        <f aca="false">'5 Format Standar'!O182</f>
        <v>46311</v>
      </c>
      <c r="E182" s="25"/>
      <c r="F182" s="19" t="str">
        <f aca="false">IF(ISNUMBER(E182),E182-D182,"")</f>
        <v/>
      </c>
      <c r="G182" s="25"/>
      <c r="H182" s="19" t="str">
        <f aca="false">IF(ISNUMBER(G182),G182-D182,"")</f>
        <v/>
      </c>
      <c r="I182" s="19" t="str">
        <f aca="false">IF(OR(C182="Positif 16/18",C182="Positif lain"),IF(AND(ISNUMBER(H182),H182&lt;='Baca Dulu'!$B$16),"Ya","Tidak"),"")</f>
        <v/>
      </c>
      <c r="J182" s="19"/>
      <c r="K182" s="19"/>
      <c r="L182" s="19"/>
      <c r="M182" s="25" t="n">
        <f aca="false">IF(C182="Negatif",DATE(YEAR(D182)+'Baca Dulu'!$B$17,MONTH(D182),DAY(D182)),IF(AND(C182="Positif lain",J182="Negatif"),DATE(YEAR(G182)+'Baca Dulu'!$B$18,MONTH(G182),DAY(G182)),IF(AND(C182="Positif 16/18",J182="Negatif"),DATE(YEAR(G182)+'Baca Dulu'!$B$19,MONTH(G182),DAY(G182)),IF(C182="Invalid","Ambil ulang","Ditentukan bidan"))))</f>
        <v>49964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4" min="2" style="1" width="14"/>
    <col collapsed="false" customWidth="true" hidden="false" outlineLevel="0" max="5" min="5" style="1" width="36"/>
  </cols>
  <sheetData>
    <row r="1" customFormat="false" ht="15" hidden="false" customHeight="true" outlineLevel="0" collapsed="false">
      <c r="A1" s="7" t="s">
        <v>787</v>
      </c>
    </row>
    <row r="3" customFormat="false" ht="15" hidden="false" customHeight="true" outlineLevel="0" collapsed="false">
      <c r="A3" s="11" t="s">
        <v>788</v>
      </c>
      <c r="B3" s="11" t="s">
        <v>34</v>
      </c>
      <c r="C3" s="11" t="s">
        <v>769</v>
      </c>
      <c r="D3" s="11" t="s">
        <v>771</v>
      </c>
      <c r="E3" s="11" t="s">
        <v>789</v>
      </c>
    </row>
    <row r="4" customFormat="false" ht="15" hidden="false" customHeight="true" outlineLevel="0" collapsed="false">
      <c r="A4" s="28" t="s">
        <v>790</v>
      </c>
      <c r="B4" s="19" t="n">
        <f aca="false">COUNTIF('5 Format Standar'!$A$3:$A$182,"NUSA HPV")</f>
        <v>60</v>
      </c>
      <c r="C4" s="19" t="n">
        <f aca="false">COUNTIF('5 Format Standar'!$A$3:$A$182,"CerviScan")</f>
        <v>60</v>
      </c>
      <c r="D4" s="19" t="n">
        <f aca="false">COUNTIF('5 Format Standar'!$A$3:$A$182,"cobas")</f>
        <v>60</v>
      </c>
      <c r="E4" s="29" t="s">
        <v>791</v>
      </c>
    </row>
    <row r="5" customFormat="false" ht="15" hidden="false" customHeight="true" outlineLevel="0" collapsed="false">
      <c r="A5" s="19" t="s">
        <v>263</v>
      </c>
      <c r="B5" s="19" t="n">
        <f aca="false">COUNTIFS('5 Format Standar'!$A$3:$A$182,"NUSA HPV",'5 Format Standar'!$M$3:$M$182,"Negatif")</f>
        <v>45</v>
      </c>
      <c r="C5" s="19" t="n">
        <f aca="false">COUNTIFS('5 Format Standar'!$A$3:$A$182,"CerviScan",'5 Format Standar'!$M$3:$M$182,"Negatif")</f>
        <v>45</v>
      </c>
      <c r="D5" s="19" t="n">
        <f aca="false">COUNTIFS('5 Format Standar'!$A$3:$A$182,"cobas",'5 Format Standar'!$M$3:$M$182,"Negatif")</f>
        <v>45</v>
      </c>
      <c r="E5" s="29"/>
    </row>
    <row r="6" customFormat="false" ht="15" hidden="false" customHeight="true" outlineLevel="0" collapsed="false">
      <c r="A6" s="19" t="s">
        <v>792</v>
      </c>
      <c r="B6" s="19" t="n">
        <f aca="false">COUNTIFS('5 Format Standar'!$A$3:$A$182,"NUSA HPV",'5 Format Standar'!$M$3:$M$182,"Positif 16/18")</f>
        <v>4</v>
      </c>
      <c r="C6" s="19" t="n">
        <f aca="false">COUNTIFS('5 Format Standar'!$A$3:$A$182,"CerviScan",'5 Format Standar'!$M$3:$M$182,"Positif 16/18")</f>
        <v>4</v>
      </c>
      <c r="D6" s="19" t="n">
        <f aca="false">COUNTIFS('5 Format Standar'!$A$3:$A$182,"cobas",'5 Format Standar'!$M$3:$M$182,"Positif 16/18")</f>
        <v>4</v>
      </c>
      <c r="E6" s="29"/>
    </row>
    <row r="7" customFormat="false" ht="15" hidden="false" customHeight="true" outlineLevel="0" collapsed="false">
      <c r="A7" s="19" t="s">
        <v>793</v>
      </c>
      <c r="B7" s="19" t="n">
        <f aca="false">COUNTIFS('5 Format Standar'!$A$3:$A$182,"NUSA HPV",'5 Format Standar'!$M$3:$M$182,"Positif lain")</f>
        <v>8</v>
      </c>
      <c r="C7" s="19" t="n">
        <f aca="false">COUNTIFS('5 Format Standar'!$A$3:$A$182,"CerviScan",'5 Format Standar'!$M$3:$M$182,"Positif lain")</f>
        <v>8</v>
      </c>
      <c r="D7" s="19" t="n">
        <f aca="false">COUNTIFS('5 Format Standar'!$A$3:$A$182,"cobas",'5 Format Standar'!$M$3:$M$182,"Positif lain")</f>
        <v>8</v>
      </c>
      <c r="E7" s="29"/>
    </row>
    <row r="8" customFormat="false" ht="15" hidden="false" customHeight="true" outlineLevel="0" collapsed="false">
      <c r="A8" s="19" t="s">
        <v>656</v>
      </c>
      <c r="B8" s="19" t="n">
        <f aca="false">COUNTIFS('5 Format Standar'!$A$3:$A$182,"NUSA HPV",'5 Format Standar'!$M$3:$M$182,"Invalid")</f>
        <v>3</v>
      </c>
      <c r="C8" s="19" t="n">
        <f aca="false">COUNTIFS('5 Format Standar'!$A$3:$A$182,"CerviScan",'5 Format Standar'!$M$3:$M$182,"Invalid")</f>
        <v>3</v>
      </c>
      <c r="D8" s="19" t="n">
        <f aca="false">COUNTIFS('5 Format Standar'!$A$3:$A$182,"cobas",'5 Format Standar'!$M$3:$M$182,"Invalid")</f>
        <v>3</v>
      </c>
      <c r="E8" s="29"/>
    </row>
    <row r="9" customFormat="false" ht="15" hidden="false" customHeight="true" outlineLevel="0" collapsed="false">
      <c r="A9" s="19" t="s">
        <v>794</v>
      </c>
      <c r="B9" s="30" t="n">
        <f aca="false">IFERROR(B8/B4,0)</f>
        <v>0.05</v>
      </c>
      <c r="C9" s="30" t="n">
        <f aca="false">IFERROR(C8/C4,0)</f>
        <v>0.05</v>
      </c>
      <c r="D9" s="30" t="n">
        <f aca="false">IFERROR(D8/D4,0)</f>
        <v>0.05</v>
      </c>
      <c r="E9" s="29" t="s">
        <v>795</v>
      </c>
    </row>
    <row r="10" customFormat="false" ht="15" hidden="false" customHeight="true" outlineLevel="0" collapsed="false">
      <c r="A10" s="19" t="s">
        <v>796</v>
      </c>
      <c r="B10" s="30" t="n">
        <f aca="false">IFERROR((B6+B7)/B4,0)</f>
        <v>0.2</v>
      </c>
      <c r="C10" s="30" t="n">
        <f aca="false">IFERROR((C6+C7)/C4,0)</f>
        <v>0.2</v>
      </c>
      <c r="D10" s="30" t="n">
        <f aca="false">IFERROR((D6+D7)/D4,0)</f>
        <v>0.2</v>
      </c>
      <c r="E10" s="29" t="s">
        <v>797</v>
      </c>
    </row>
    <row r="11" customFormat="false" ht="15" hidden="false" customHeight="true" outlineLevel="0" collapsed="false">
      <c r="A11" s="19" t="s">
        <v>798</v>
      </c>
      <c r="B11" s="19" t="n">
        <f aca="false">COUNTIFS('6 Tindak Lanjut'!$B$3:$B$182,"NUSA HPV",'6 Tindak Lanjut'!$I$3:$I$182,"Ya")</f>
        <v>9</v>
      </c>
      <c r="C11" s="19" t="n">
        <f aca="false">COUNTIFS('6 Tindak Lanjut'!$B$3:$B$182,"CerviScan",'6 Tindak Lanjut'!$I$3:$I$182,"Ya")</f>
        <v>9</v>
      </c>
      <c r="D11" s="19" t="n">
        <f aca="false">COUNTIFS('6 Tindak Lanjut'!$B$3:$B$182,"cobas",'6 Tindak Lanjut'!$I$3:$I$182,"Ya")</f>
        <v>9</v>
      </c>
      <c r="E11" s="29" t="s">
        <v>799</v>
      </c>
    </row>
    <row r="12" customFormat="false" ht="15" hidden="false" customHeight="true" outlineLevel="0" collapsed="false">
      <c r="A12" s="19" t="s">
        <v>800</v>
      </c>
      <c r="B12" s="30" t="n">
        <f aca="false">IFERROR(B11/(B6+B7),0)</f>
        <v>0.75</v>
      </c>
      <c r="C12" s="30" t="n">
        <f aca="false">IFERROR(C11/(C6+C7),0)</f>
        <v>0.75</v>
      </c>
      <c r="D12" s="30" t="n">
        <f aca="false">IFERROR(D11/(D6+D7),0)</f>
        <v>0.75</v>
      </c>
      <c r="E12" s="29" t="s">
        <v>801</v>
      </c>
    </row>
    <row r="13" customFormat="false" ht="15" hidden="false" customHeight="true" outlineLevel="0" collapsed="false">
      <c r="A13" s="19" t="s">
        <v>802</v>
      </c>
      <c r="B13" s="24" t="n">
        <f aca="false">IFERROR(AVERAGEIFS('6 Tindak Lanjut'!$F$3:$F$182,'6 Tindak Lanjut'!$B$3:$B$182,"NUSA HPV"),0)</f>
        <v>2</v>
      </c>
      <c r="C13" s="24" t="n">
        <f aca="false">IFERROR(AVERAGEIFS('6 Tindak Lanjut'!$F$3:$F$182,'6 Tindak Lanjut'!$B$3:$B$182,"CerviScan"),0)</f>
        <v>2</v>
      </c>
      <c r="D13" s="24" t="n">
        <f aca="false">IFERROR(AVERAGEIFS('6 Tindak Lanjut'!$F$3:$F$182,'6 Tindak Lanjut'!$B$3:$B$182,"cobas"),0)</f>
        <v>2</v>
      </c>
      <c r="E13" s="29" t="s">
        <v>803</v>
      </c>
    </row>
    <row r="14" customFormat="false" ht="15" hidden="false" customHeight="true" outlineLevel="0" collapsed="false">
      <c r="A14" s="19" t="s">
        <v>804</v>
      </c>
      <c r="B14" s="24" t="n">
        <f aca="false">IFERROR(AVERAGEIFS('5 Format Standar'!$N$3:$N$182,'5 Format Standar'!$A$3:$A$182,"NUSA HPV"),"Tidak tersedia")</f>
        <v>1.7</v>
      </c>
      <c r="C14" s="24" t="n">
        <f aca="false">IFERROR(AVERAGEIFS('5 Format Standar'!$N$3:$N$182,'5 Format Standar'!$A$3:$A$182,"CerviScan"),"Tidak tersedia")</f>
        <v>0</v>
      </c>
      <c r="D14" s="24" t="str">
        <f aca="false">IFERROR(AVERAGEIFS('5 Format Standar'!$N$3:$N$182,'5 Format Standar'!$A$3:$A$182,"cobas"),"Tidak tersedia")</f>
        <v>Tidak tersedia</v>
      </c>
      <c r="E14" s="29" t="s">
        <v>805</v>
      </c>
    </row>
    <row r="15" customFormat="false" ht="15" hidden="false" customHeight="true" outlineLevel="0" collapsed="false">
      <c r="A15" s="19" t="s">
        <v>806</v>
      </c>
      <c r="B15" s="19" t="n">
        <f aca="false">COUNTIF('1 Kamus Data'!F2:F36,"Ya*")</f>
        <v>32</v>
      </c>
      <c r="C15" s="19" t="n">
        <f aca="false">COUNTIF('1 Kamus Data'!G2:G36,"Ya*")</f>
        <v>25</v>
      </c>
      <c r="D15" s="19" t="n">
        <f aca="false">COUNTIF('1 Kamus Data'!H2:H36,"Ya*")</f>
        <v>19</v>
      </c>
      <c r="E15" s="29" t="s">
        <v>807</v>
      </c>
    </row>
    <row r="16" customFormat="false" ht="15" hidden="false" customHeight="true" outlineLevel="0" collapsed="false">
      <c r="A16" s="19" t="s">
        <v>808</v>
      </c>
      <c r="B16" s="19" t="n">
        <f aca="false">COUNTIF('1 Kamus Data'!F2:F36,"Perlu cek*")</f>
        <v>0</v>
      </c>
      <c r="C16" s="19" t="n">
        <f aca="false">COUNTIF('1 Kamus Data'!G2:G36,"Perlu cek*")</f>
        <v>1</v>
      </c>
      <c r="D16" s="19" t="n">
        <f aca="false">COUNTIF('1 Kamus Data'!H2:H36,"Perlu cek*")</f>
        <v>6</v>
      </c>
      <c r="E16" s="29" t="s">
        <v>809</v>
      </c>
    </row>
    <row r="17" customFormat="false" ht="15" hidden="false" customHeight="true" outlineLevel="0" collapsed="false">
      <c r="A17" s="19" t="s">
        <v>810</v>
      </c>
      <c r="B17" s="19" t="n">
        <f aca="false">COUNTIF('1 Kamus Data'!F2:F36,"Tidak*")</f>
        <v>2</v>
      </c>
      <c r="C17" s="19" t="n">
        <f aca="false">COUNTIF('1 Kamus Data'!G2:G36,"Tidak*")</f>
        <v>6</v>
      </c>
      <c r="D17" s="19" t="n">
        <f aca="false">COUNTIF('1 Kamus Data'!H2:H36,"Tidak*")</f>
        <v>8</v>
      </c>
      <c r="E17" s="29"/>
    </row>
    <row r="19" customFormat="false" ht="15" hidden="false" customHeight="false" outlineLevel="0" collapsed="false">
      <c r="A19" s="31" t="s">
        <v>811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2026-10-19T15:00:53Z</dcterms:created>
  <dc:creator>openpyxl</dc:creator>
  <dc:description/>
  <dc:language>en-US</dc:language>
  <cp:lastModifiedBy/>
  <dcterms:modified xsi:type="dcterms:W3CDTF">2026-10-19T15:01:04Z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